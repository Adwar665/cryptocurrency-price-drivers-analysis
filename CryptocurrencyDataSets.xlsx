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ria\Documents\"/>
    </mc:Choice>
  </mc:AlternateContent>
  <xr:revisionPtr revIDLastSave="0" documentId="13_ncr:1_{05E46E14-1A2B-4D2E-9A00-FE09C97F5931}" xr6:coauthVersionLast="47" xr6:coauthVersionMax="47" xr10:uidLastSave="{00000000-0000-0000-0000-000000000000}"/>
  <bookViews>
    <workbookView xWindow="-120" yWindow="-120" windowWidth="20730" windowHeight="11040" xr2:uid="{D34B91A0-7385-4ED0-B1AE-4E27F59D0D82}"/>
  </bookViews>
  <sheets>
    <sheet name="MyDataSets" sheetId="1" r:id="rId1"/>
    <sheet name="EmpiricalRegression" sheetId="9" r:id="rId2"/>
    <sheet name="CryptocurrenciesPrices 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 a="1"/>
  <c r="I2" i="1" s="1"/>
  <c r="G2" i="1" a="1"/>
  <c r="G2" i="1" s="1"/>
  <c r="D9" i="1"/>
  <c r="D10" i="1"/>
  <c r="B10" i="8"/>
  <c r="B9" i="8"/>
  <c r="E3" i="1"/>
  <c r="E4" i="1"/>
  <c r="E5" i="1"/>
  <c r="E6" i="1"/>
  <c r="E7" i="1"/>
  <c r="E8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2" i="1"/>
  <c r="E9" i="1" l="1"/>
  <c r="E1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<sst xmlns="http://schemas.openxmlformats.org/spreadsheetml/2006/main" count="108" uniqueCount="100">
  <si>
    <t xml:space="preserve">Observations </t>
  </si>
  <si>
    <t xml:space="preserve">Bitcoin </t>
  </si>
  <si>
    <t xml:space="preserve">Ethereum </t>
  </si>
  <si>
    <t xml:space="preserve">Tether </t>
  </si>
  <si>
    <t>XRP</t>
  </si>
  <si>
    <t>BNB</t>
  </si>
  <si>
    <t>Solana</t>
  </si>
  <si>
    <t>USDC</t>
  </si>
  <si>
    <t>Dodgecoin</t>
  </si>
  <si>
    <t>Cardano</t>
  </si>
  <si>
    <t>TRON</t>
  </si>
  <si>
    <t>Lido Staked Ether</t>
  </si>
  <si>
    <t>Wrapped Bitcoin</t>
  </si>
  <si>
    <t xml:space="preserve">Chainlink </t>
  </si>
  <si>
    <t xml:space="preserve">Leo Token </t>
  </si>
  <si>
    <t xml:space="preserve"> Cryptocurrencies across the Tokens</t>
  </si>
  <si>
    <t xml:space="preserve">Stellar </t>
  </si>
  <si>
    <t xml:space="preserve">Avalanche </t>
  </si>
  <si>
    <t>Hedera</t>
  </si>
  <si>
    <t>Shiba Inu</t>
  </si>
  <si>
    <t xml:space="preserve">Litecoin </t>
  </si>
  <si>
    <t>Polkadot</t>
  </si>
  <si>
    <t>Mantra</t>
  </si>
  <si>
    <t>Bitcoin Cash</t>
  </si>
  <si>
    <t xml:space="preserve">Bitget Token </t>
  </si>
  <si>
    <t>WETH</t>
  </si>
  <si>
    <t xml:space="preserve">Uniswap </t>
  </si>
  <si>
    <t xml:space="preserve">Monero </t>
  </si>
  <si>
    <t xml:space="preserve">NEAR Protocol </t>
  </si>
  <si>
    <t xml:space="preserve">Dai </t>
  </si>
  <si>
    <t>OKB</t>
  </si>
  <si>
    <t>Gate</t>
  </si>
  <si>
    <t xml:space="preserve">Aave </t>
  </si>
  <si>
    <t xml:space="preserve">Tokenize Xchange </t>
  </si>
  <si>
    <t xml:space="preserve">Ethereum Classics </t>
  </si>
  <si>
    <t xml:space="preserve">VeChain </t>
  </si>
  <si>
    <t>Cronos</t>
  </si>
  <si>
    <t xml:space="preserve">Cosmos Hub </t>
  </si>
  <si>
    <t>Filecoin</t>
  </si>
  <si>
    <t>Cryptocurrencies Prices</t>
  </si>
  <si>
    <t>Year</t>
  </si>
  <si>
    <t>Kucoin</t>
  </si>
  <si>
    <t>Nexo</t>
  </si>
  <si>
    <t>Maker</t>
  </si>
  <si>
    <t xml:space="preserve">Theta Network </t>
  </si>
  <si>
    <t>EOS</t>
  </si>
  <si>
    <t>Quant</t>
  </si>
  <si>
    <t>Tezos</t>
  </si>
  <si>
    <t>Dash</t>
  </si>
  <si>
    <t>Golem</t>
  </si>
  <si>
    <t xml:space="preserve">CreditCoin </t>
  </si>
  <si>
    <t xml:space="preserve">Verus </t>
  </si>
  <si>
    <t>yearn.finance</t>
  </si>
  <si>
    <t>Stacks</t>
  </si>
  <si>
    <t xml:space="preserve">Axie Infinity </t>
  </si>
  <si>
    <t xml:space="preserve">Basic Attention </t>
  </si>
  <si>
    <t>CoinEx</t>
  </si>
  <si>
    <t xml:space="preserve">Chromia </t>
  </si>
  <si>
    <t xml:space="preserve">Sologenic </t>
  </si>
  <si>
    <t xml:space="preserve">BTSE Token </t>
  </si>
  <si>
    <t>Enjin Coin</t>
  </si>
  <si>
    <t>Zilliqia</t>
  </si>
  <si>
    <t xml:space="preserve">MX </t>
  </si>
  <si>
    <t xml:space="preserve">Flux </t>
  </si>
  <si>
    <t>Log(Cryptocurrencies Price)</t>
  </si>
  <si>
    <t>Market Cap</t>
  </si>
  <si>
    <t xml:space="preserve">Volume </t>
  </si>
  <si>
    <t xml:space="preserve">High_Volatility </t>
  </si>
  <si>
    <t>Log(Volume)</t>
  </si>
  <si>
    <t>Log(Market Cap)</t>
  </si>
  <si>
    <t>10-Year Constant Maturity Rate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</si>
  <si>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</si>
  <si>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</si>
  <si>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</si>
  <si>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</si>
  <si>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</si>
  <si>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</si>
  <si>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</si>
  <si>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</si>
  <si>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</si>
  <si>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</si>
  <si>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</si>
  <si>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</si>
  <si>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</si>
  <si>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</si>
  <si>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</si>
  <si>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</si>
  <si>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</si>
  <si>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</si>
  <si>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</si>
  <si>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</si>
  <si>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</si>
  <si>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</si>
  <si>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</si>
  <si>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</si>
  <si>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</si>
  <si>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</si>
  <si>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Log(Cryptocurrencies Price)</t>
  </si>
  <si>
    <t>Residuals</t>
  </si>
  <si>
    <t>Standard 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</si>
</sst>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44" formatCode="_(&quot;$&quot;* #,##0.00_);_(&quot;$&quot;* \(#,##0.00\);_(&quot;$&quot;* &quot;-&quot;??_);_(@_)"/>
    <numFmt numFmtId="164" formatCode="_(&quot;$&quot;* #,##0.0000_);_(&quot;$&quot;* \(#,##0.0000\);_(&quot;$&quot;* &quot;-&quot;??_);_(@_)"/>
    <numFmt numFmtId="165" formatCode="_(&quot;$&quot;* #,##0.000000_);_(&quot;$&quot;* \(#,##0.000000\);_(&quot;$&quot;* &quot;-&quot;??_);_(@_)"/>
    <numFmt numFmtId="166" formatCode="_(&quot;$&quot;* #,##0.0000000_);_(&quot;$&quot;* \(#,##0.0000000\);_(&quot;$&quot;* &quot;-&quot;??_);_(@_)"/>
    <numFmt numFmtId="167" formatCode="_(&quot;$&quot;* #,##0.00000_);_(&quot;$&quot;* \(#,##0.00000\);_(&quot;$&quot;* &quot;-&quot;??_);_(@_)"/>
    <numFmt numFmtId="168" formatCode="_(&quot;$&quot;* #,##0.000_);_(&quot;$&quot;* \(#,##0.000\);_(&quot;$&quot;* &quot;-&quot;??_);_(@_)"/>
    <numFmt numFmtId="169" formatCode="&quot;$&quot;#,##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1"/>
      <color theme="1"/>
      <name val="Aptos Narrow"/>
      <family val="1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44" fontId="2" fillId="0" borderId="1" xfId="1" applyFont="1" applyBorder="1"/>
    <xf numFmtId="164" fontId="2" fillId="0" borderId="1" xfId="1" applyNumberFormat="1" applyFont="1" applyBorder="1"/>
    <xf numFmtId="165" fontId="2" fillId="0" borderId="1" xfId="1" applyNumberFormat="1" applyFont="1" applyBorder="1"/>
    <xf numFmtId="166" fontId="2" fillId="0" borderId="1" xfId="1" applyNumberFormat="1" applyFont="1" applyBorder="1"/>
    <xf numFmtId="167" fontId="2" fillId="0" borderId="1" xfId="1" applyNumberFormat="1" applyFont="1" applyBorder="1"/>
    <xf numFmtId="2" fontId="2" fillId="0" borderId="1" xfId="0" applyNumberFormat="1" applyFont="1" applyBorder="1"/>
    <xf numFmtId="168" fontId="2" fillId="0" borderId="1" xfId="1" applyNumberFormat="1" applyFont="1" applyBorder="1"/>
    <xf numFmtId="0" fontId="2" fillId="0" borderId="0" xfId="0" applyFont="1"/>
    <xf numFmtId="169" fontId="2" fillId="0" borderId="1" xfId="0" applyNumberFormat="1" applyFont="1" applyBorder="1"/>
    <xf numFmtId="6" fontId="2" fillId="0" borderId="1" xfId="1" applyNumberFormat="1" applyFont="1" applyBorder="1"/>
    <xf numFmtId="6" fontId="2" fillId="0" borderId="1" xfId="0" applyNumberFormat="1" applyFont="1" applyBorder="1"/>
    <xf numFmtId="6" fontId="2" fillId="0" borderId="0" xfId="0" applyNumberFormat="1" applyFont="1"/>
    <xf numFmtId="0" fontId="3" fillId="0" borderId="1" xfId="0" applyFont="1" applyBorder="1"/>
    <xf numFmtId="2" fontId="2" fillId="0" borderId="0" xfId="0" applyNumberFormat="1" applyFont="1"/>
    <xf numFmtId="0" fontId="2" fillId="0" borderId="1" xfId="0" applyFont="1" applyBorder="1" applyAlignment="1">
      <alignment wrapText="1"/>
    </xf>
    <xf numFmtId="0" fontId="0" fillId="0" borderId="2" xfId="0" applyBorder="1"/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Continuous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Volume 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MyDataSets!$F$2:$F$61</c:f>
              <c:numCache>
                <c:formatCode>"$"#,##0</c:formatCode>
                <c:ptCount val="60"/>
                <c:pt idx="0">
                  <c:v>21187883711</c:v>
                </c:pt>
                <c:pt idx="1">
                  <c:v>7103187151</c:v>
                </c:pt>
                <c:pt idx="2">
                  <c:v>23700467689</c:v>
                </c:pt>
                <c:pt idx="3">
                  <c:v>1125486227</c:v>
                </c:pt>
                <c:pt idx="4">
                  <c:v>168238325</c:v>
                </c:pt>
                <c:pt idx="5">
                  <c:v>17111376</c:v>
                </c:pt>
                <c:pt idx="6">
                  <c:v>235182744</c:v>
                </c:pt>
                <c:pt idx="7">
                  <c:v>206000</c:v>
                </c:pt>
                <c:pt idx="8">
                  <c:v>78089757</c:v>
                </c:pt>
                <c:pt idx="9">
                  <c:v>1134528759</c:v>
                </c:pt>
                <c:pt idx="10">
                  <c:v>81814</c:v>
                </c:pt>
                <c:pt idx="11">
                  <c:v>201197</c:v>
                </c:pt>
                <c:pt idx="12">
                  <c:v>91335137</c:v>
                </c:pt>
                <c:pt idx="13">
                  <c:v>7357262</c:v>
                </c:pt>
                <c:pt idx="14">
                  <c:v>980605</c:v>
                </c:pt>
                <c:pt idx="15">
                  <c:v>9989636</c:v>
                </c:pt>
                <c:pt idx="16">
                  <c:v>117290831</c:v>
                </c:pt>
                <c:pt idx="17">
                  <c:v>18856276</c:v>
                </c:pt>
                <c:pt idx="18">
                  <c:v>3573158</c:v>
                </c:pt>
                <c:pt idx="19">
                  <c:v>2376819</c:v>
                </c:pt>
                <c:pt idx="20">
                  <c:v>3.7022999999999998E-4</c:v>
                </c:pt>
                <c:pt idx="21">
                  <c:v>2077667</c:v>
                </c:pt>
                <c:pt idx="22">
                  <c:v>2220352351</c:v>
                </c:pt>
                <c:pt idx="23">
                  <c:v>1926142319</c:v>
                </c:pt>
                <c:pt idx="24">
                  <c:v>1651700</c:v>
                </c:pt>
                <c:pt idx="25">
                  <c:v>1661251711</c:v>
                </c:pt>
                <c:pt idx="26">
                  <c:v>1661858587</c:v>
                </c:pt>
                <c:pt idx="27">
                  <c:v>2988814</c:v>
                </c:pt>
                <c:pt idx="28">
                  <c:v>106295</c:v>
                </c:pt>
                <c:pt idx="29">
                  <c:v>1294548</c:v>
                </c:pt>
                <c:pt idx="30">
                  <c:v>6943268</c:v>
                </c:pt>
                <c:pt idx="31">
                  <c:v>57847509</c:v>
                </c:pt>
                <c:pt idx="32">
                  <c:v>824702234</c:v>
                </c:pt>
                <c:pt idx="33">
                  <c:v>230047533</c:v>
                </c:pt>
                <c:pt idx="34">
                  <c:v>95555114</c:v>
                </c:pt>
                <c:pt idx="35">
                  <c:v>13149632</c:v>
                </c:pt>
                <c:pt idx="36">
                  <c:v>40897350</c:v>
                </c:pt>
                <c:pt idx="37">
                  <c:v>5007520</c:v>
                </c:pt>
                <c:pt idx="38">
                  <c:v>318.64999999999998</c:v>
                </c:pt>
                <c:pt idx="39">
                  <c:v>2779679</c:v>
                </c:pt>
                <c:pt idx="40">
                  <c:v>379083823</c:v>
                </c:pt>
                <c:pt idx="41">
                  <c:v>57394512</c:v>
                </c:pt>
                <c:pt idx="42">
                  <c:v>7003007</c:v>
                </c:pt>
                <c:pt idx="43">
                  <c:v>296890</c:v>
                </c:pt>
                <c:pt idx="44">
                  <c:v>234318366</c:v>
                </c:pt>
                <c:pt idx="45">
                  <c:v>5015718</c:v>
                </c:pt>
                <c:pt idx="46">
                  <c:v>50630559</c:v>
                </c:pt>
                <c:pt idx="47">
                  <c:v>6312564</c:v>
                </c:pt>
                <c:pt idx="48">
                  <c:v>1756890</c:v>
                </c:pt>
                <c:pt idx="49">
                  <c:v>872337511</c:v>
                </c:pt>
                <c:pt idx="50">
                  <c:v>885272</c:v>
                </c:pt>
                <c:pt idx="51">
                  <c:v>696032</c:v>
                </c:pt>
                <c:pt idx="52">
                  <c:v>62588</c:v>
                </c:pt>
                <c:pt idx="53">
                  <c:v>85781446</c:v>
                </c:pt>
                <c:pt idx="54">
                  <c:v>10684994</c:v>
                </c:pt>
                <c:pt idx="55">
                  <c:v>104595900</c:v>
                </c:pt>
                <c:pt idx="56">
                  <c:v>42104839</c:v>
                </c:pt>
                <c:pt idx="57">
                  <c:v>6854075</c:v>
                </c:pt>
                <c:pt idx="58">
                  <c:v>221650260</c:v>
                </c:pt>
                <c:pt idx="59">
                  <c:v>5740364</c:v>
                </c:pt>
              </c:numCache>
            </c:numRef>
          </c:xVal>
          <c:yVal>
            <c:numRef>
              <c:f>EmpiricalRegression!$C$29:$C$88</c:f>
              <c:numCache>
                <c:formatCode>General</c:formatCode>
                <c:ptCount val="60"/>
                <c:pt idx="0">
                  <c:v>1.948675315898412</c:v>
                </c:pt>
                <c:pt idx="1">
                  <c:v>1.3131194247502092</c:v>
                </c:pt>
                <c:pt idx="2">
                  <c:v>-1.4475917276538446</c:v>
                </c:pt>
                <c:pt idx="3">
                  <c:v>-4.6029782910115209</c:v>
                </c:pt>
                <c:pt idx="4">
                  <c:v>1.096145158360919</c:v>
                </c:pt>
                <c:pt idx="5">
                  <c:v>-2.3809778968925008</c:v>
                </c:pt>
                <c:pt idx="6">
                  <c:v>-1.6692945566174773</c:v>
                </c:pt>
                <c:pt idx="7">
                  <c:v>-2.9810445620005259</c:v>
                </c:pt>
                <c:pt idx="8">
                  <c:v>-4.3751434413246537</c:v>
                </c:pt>
                <c:pt idx="9">
                  <c:v>-9.2646997356961016</c:v>
                </c:pt>
                <c:pt idx="10">
                  <c:v>10.018361913623846</c:v>
                </c:pt>
                <c:pt idx="11">
                  <c:v>11.909943886444129</c:v>
                </c:pt>
                <c:pt idx="12">
                  <c:v>-0.4613538326058233</c:v>
                </c:pt>
                <c:pt idx="13">
                  <c:v>0.61875297444309951</c:v>
                </c:pt>
                <c:pt idx="14">
                  <c:v>1.8439258979738589</c:v>
                </c:pt>
                <c:pt idx="15">
                  <c:v>-1.8181727334352971</c:v>
                </c:pt>
                <c:pt idx="16">
                  <c:v>-4.3279887180040433</c:v>
                </c:pt>
                <c:pt idx="17">
                  <c:v>1.9058166563044177</c:v>
                </c:pt>
                <c:pt idx="18">
                  <c:v>7.2638539292091711</c:v>
                </c:pt>
                <c:pt idx="19">
                  <c:v>-3.0749859186387938</c:v>
                </c:pt>
                <c:pt idx="20">
                  <c:v>-11.059970292768408</c:v>
                </c:pt>
                <c:pt idx="21">
                  <c:v>-0.84839503785926795</c:v>
                </c:pt>
                <c:pt idx="22">
                  <c:v>0.71437046456764053</c:v>
                </c:pt>
                <c:pt idx="23">
                  <c:v>-2.1351812386758668</c:v>
                </c:pt>
                <c:pt idx="24">
                  <c:v>0.5013134925664009</c:v>
                </c:pt>
                <c:pt idx="25">
                  <c:v>2.384263318441914</c:v>
                </c:pt>
                <c:pt idx="26">
                  <c:v>-1.9379026869094682</c:v>
                </c:pt>
                <c:pt idx="27">
                  <c:v>2.8539482419089639</c:v>
                </c:pt>
                <c:pt idx="28">
                  <c:v>8.0593863586664654</c:v>
                </c:pt>
                <c:pt idx="29">
                  <c:v>3.2407047749210127</c:v>
                </c:pt>
                <c:pt idx="30">
                  <c:v>-1.7769178032859949</c:v>
                </c:pt>
                <c:pt idx="31">
                  <c:v>-0.44046096301292725</c:v>
                </c:pt>
                <c:pt idx="32">
                  <c:v>-0.51524432798580189</c:v>
                </c:pt>
                <c:pt idx="33">
                  <c:v>2.2860519437803113</c:v>
                </c:pt>
                <c:pt idx="34">
                  <c:v>2.7251001980614475</c:v>
                </c:pt>
                <c:pt idx="35">
                  <c:v>-0.92699593085803689</c:v>
                </c:pt>
                <c:pt idx="36">
                  <c:v>-0.32005967020501314</c:v>
                </c:pt>
                <c:pt idx="37">
                  <c:v>-0.1782638658386686</c:v>
                </c:pt>
                <c:pt idx="38">
                  <c:v>5.245783319057244</c:v>
                </c:pt>
                <c:pt idx="39">
                  <c:v>1.372349823114636</c:v>
                </c:pt>
                <c:pt idx="40">
                  <c:v>6.594907035822839</c:v>
                </c:pt>
                <c:pt idx="41">
                  <c:v>0.22297547119643846</c:v>
                </c:pt>
                <c:pt idx="42">
                  <c:v>-0.29265347872694092</c:v>
                </c:pt>
                <c:pt idx="43">
                  <c:v>0.56312628868709913</c:v>
                </c:pt>
                <c:pt idx="44">
                  <c:v>2.2699061951249186</c:v>
                </c:pt>
                <c:pt idx="45">
                  <c:v>-0.77486604957450378</c:v>
                </c:pt>
                <c:pt idx="46">
                  <c:v>-2.3235607913510372</c:v>
                </c:pt>
                <c:pt idx="47">
                  <c:v>-1.0459032606893701</c:v>
                </c:pt>
                <c:pt idx="48">
                  <c:v>-2.5643947610908979</c:v>
                </c:pt>
                <c:pt idx="49">
                  <c:v>-0.9660521056828284</c:v>
                </c:pt>
                <c:pt idx="50">
                  <c:v>-1.9916343992832242</c:v>
                </c:pt>
                <c:pt idx="51">
                  <c:v>1.1512253611367365</c:v>
                </c:pt>
                <c:pt idx="52">
                  <c:v>4.1473933444017126</c:v>
                </c:pt>
                <c:pt idx="53">
                  <c:v>-6.117609913143955</c:v>
                </c:pt>
                <c:pt idx="54">
                  <c:v>-2.959156798461628</c:v>
                </c:pt>
                <c:pt idx="55">
                  <c:v>0.31900562472782945</c:v>
                </c:pt>
                <c:pt idx="56">
                  <c:v>-5.8897280440790825</c:v>
                </c:pt>
                <c:pt idx="57">
                  <c:v>-1.6602939281268299</c:v>
                </c:pt>
                <c:pt idx="58">
                  <c:v>3.0768762698377281</c:v>
                </c:pt>
                <c:pt idx="59">
                  <c:v>-2.5178059215386774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179-487D-AB91-1D6EBF090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6839280"/>
        <c:axId val="546861840"/>
      </c:scatterChart>
      <c:valAx>
        <c:axId val="5468392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Volume </a:t>
                </a:r>
              </a:p>
            </c:rich>
          </c:tx>
          <c:overlay val="0"/>
        </c:title>
        <c:numFmt formatCode="&quot;$&quot;#,##0" sourceLinked="1"/>
        <c:majorTickMark val="out"/>
        <c:minorTickMark val="none"/>
        <c:tickLblPos val="nextTo"/>
        <c:crossAx val="546861840"/>
        <c:crosses val="autoZero"/>
        <c:crossBetween val="midCat"/>
      </c:valAx>
      <c:valAx>
        <c:axId val="5468618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4683928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Log(Volume)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MyDataSets!$G$2:$G$61</c:f>
              <c:numCache>
                <c:formatCode>0.00</c:formatCode>
                <c:ptCount val="60"/>
                <c:pt idx="0">
                  <c:v>23.776695332176779</c:v>
                </c:pt>
                <c:pt idx="1">
                  <c:v>22.683809414777727</c:v>
                </c:pt>
                <c:pt idx="2">
                  <c:v>23.888760618605868</c:v>
                </c:pt>
                <c:pt idx="3">
                  <c:v>20.841480981008289</c:v>
                </c:pt>
                <c:pt idx="4">
                  <c:v>18.940892133293939</c:v>
                </c:pt>
                <c:pt idx="5">
                  <c:v>16.655254063441344</c:v>
                </c:pt>
                <c:pt idx="6">
                  <c:v>19.275873403950293</c:v>
                </c:pt>
                <c:pt idx="7">
                  <c:v>12.235631447771718</c:v>
                </c:pt>
                <c:pt idx="8">
                  <c:v>18.173369453839932</c:v>
                </c:pt>
                <c:pt idx="9">
                  <c:v>20.849483211356045</c:v>
                </c:pt>
                <c:pt idx="10">
                  <c:v>11.312203657090748</c:v>
                </c:pt>
                <c:pt idx="11">
                  <c:v>12.212039806559778</c:v>
                </c:pt>
                <c:pt idx="12">
                  <c:v>18.330046123664424</c:v>
                </c:pt>
                <c:pt idx="13">
                  <c:v>15.811198410622284</c:v>
                </c:pt>
                <c:pt idx="14">
                  <c:v>13.7959250071053</c:v>
                </c:pt>
                <c:pt idx="15">
                  <c:v>16.117058713524475</c:v>
                </c:pt>
                <c:pt idx="16">
                  <c:v>18.580167143475574</c:v>
                </c:pt>
                <c:pt idx="17">
                  <c:v>16.752356360741722</c:v>
                </c:pt>
                <c:pt idx="18">
                  <c:v>15.088960356570809</c:v>
                </c:pt>
                <c:pt idx="19">
                  <c:v>14.681273597040017</c:v>
                </c:pt>
                <c:pt idx="20">
                  <c:v>-7.9013861238310721</c:v>
                </c:pt>
                <c:pt idx="21">
                  <c:v>14.546756187559252</c:v>
                </c:pt>
                <c:pt idx="22">
                  <c:v>21.520931736903108</c:v>
                </c:pt>
                <c:pt idx="23">
                  <c:v>21.378785041154135</c:v>
                </c:pt>
                <c:pt idx="24">
                  <c:v>14.317315618509182</c:v>
                </c:pt>
                <c:pt idx="25">
                  <c:v>21.230837197938527</c:v>
                </c:pt>
                <c:pt idx="26">
                  <c:v>21.231202443718729</c:v>
                </c:pt>
                <c:pt idx="27">
                  <c:v>14.910387211159865</c:v>
                </c:pt>
                <c:pt idx="28">
                  <c:v>11.573973526535163</c:v>
                </c:pt>
                <c:pt idx="29">
                  <c:v>14.073672157439935</c:v>
                </c:pt>
                <c:pt idx="30">
                  <c:v>15.753283115019254</c:v>
                </c:pt>
                <c:pt idx="31">
                  <c:v>17.873320951039876</c:v>
                </c:pt>
                <c:pt idx="32">
                  <c:v>20.530532950663744</c:v>
                </c:pt>
                <c:pt idx="33">
                  <c:v>19.253796510752547</c:v>
                </c:pt>
                <c:pt idx="34">
                  <c:v>18.375213748934698</c:v>
                </c:pt>
                <c:pt idx="35">
                  <c:v>16.391904331405591</c:v>
                </c:pt>
                <c:pt idx="36">
                  <c:v>17.526575826737886</c:v>
                </c:pt>
                <c:pt idx="37">
                  <c:v>15.426451340523121</c:v>
                </c:pt>
                <c:pt idx="38">
                  <c:v>5.7640933217603028</c:v>
                </c:pt>
                <c:pt idx="39">
                  <c:v>14.837846011374021</c:v>
                </c:pt>
                <c:pt idx="40">
                  <c:v>19.753267907457907</c:v>
                </c:pt>
                <c:pt idx="41">
                  <c:v>17.865459246962793</c:v>
                </c:pt>
                <c:pt idx="42">
                  <c:v>15.761850186208767</c:v>
                </c:pt>
                <c:pt idx="43">
                  <c:v>12.60111697881042</c:v>
                </c:pt>
                <c:pt idx="44">
                  <c:v>19.272191287089687</c:v>
                </c:pt>
                <c:pt idx="45">
                  <c:v>15.428087139618791</c:v>
                </c:pt>
                <c:pt idx="46">
                  <c:v>17.740065884769994</c:v>
                </c:pt>
                <c:pt idx="47">
                  <c:v>15.658052491128219</c:v>
                </c:pt>
                <c:pt idx="48">
                  <c:v>14.379055758493358</c:v>
                </c:pt>
                <c:pt idx="49">
                  <c:v>20.586686960886297</c:v>
                </c:pt>
                <c:pt idx="50">
                  <c:v>13.693650221402148</c:v>
                </c:pt>
                <c:pt idx="51">
                  <c:v>13.45315091527114</c:v>
                </c:pt>
                <c:pt idx="52">
                  <c:v>11.044328845421948</c:v>
                </c:pt>
                <c:pt idx="53">
                  <c:v>18.267313293987172</c:v>
                </c:pt>
                <c:pt idx="54">
                  <c:v>16.184350885200367</c:v>
                </c:pt>
                <c:pt idx="55">
                  <c:v>18.465614911886149</c:v>
                </c:pt>
                <c:pt idx="56">
                  <c:v>17.555673232665022</c:v>
                </c:pt>
                <c:pt idx="57">
                  <c:v>15.740353923872142</c:v>
                </c:pt>
                <c:pt idx="58">
                  <c:v>19.216611292175177</c:v>
                </c:pt>
                <c:pt idx="59">
                  <c:v>15.563033180919273</c:v>
                </c:pt>
              </c:numCache>
            </c:numRef>
          </c:xVal>
          <c:yVal>
            <c:numRef>
              <c:f>EmpiricalRegression!$C$29:$C$88</c:f>
              <c:numCache>
                <c:formatCode>General</c:formatCode>
                <c:ptCount val="60"/>
                <c:pt idx="0">
                  <c:v>1.948675315898412</c:v>
                </c:pt>
                <c:pt idx="1">
                  <c:v>1.3131194247502092</c:v>
                </c:pt>
                <c:pt idx="2">
                  <c:v>-1.4475917276538446</c:v>
                </c:pt>
                <c:pt idx="3">
                  <c:v>-4.6029782910115209</c:v>
                </c:pt>
                <c:pt idx="4">
                  <c:v>1.096145158360919</c:v>
                </c:pt>
                <c:pt idx="5">
                  <c:v>-2.3809778968925008</c:v>
                </c:pt>
                <c:pt idx="6">
                  <c:v>-1.6692945566174773</c:v>
                </c:pt>
                <c:pt idx="7">
                  <c:v>-2.9810445620005259</c:v>
                </c:pt>
                <c:pt idx="8">
                  <c:v>-4.3751434413246537</c:v>
                </c:pt>
                <c:pt idx="9">
                  <c:v>-9.2646997356961016</c:v>
                </c:pt>
                <c:pt idx="10">
                  <c:v>10.018361913623846</c:v>
                </c:pt>
                <c:pt idx="11">
                  <c:v>11.909943886444129</c:v>
                </c:pt>
                <c:pt idx="12">
                  <c:v>-0.4613538326058233</c:v>
                </c:pt>
                <c:pt idx="13">
                  <c:v>0.61875297444309951</c:v>
                </c:pt>
                <c:pt idx="14">
                  <c:v>1.8439258979738589</c:v>
                </c:pt>
                <c:pt idx="15">
                  <c:v>-1.8181727334352971</c:v>
                </c:pt>
                <c:pt idx="16">
                  <c:v>-4.3279887180040433</c:v>
                </c:pt>
                <c:pt idx="17">
                  <c:v>1.9058166563044177</c:v>
                </c:pt>
                <c:pt idx="18">
                  <c:v>7.2638539292091711</c:v>
                </c:pt>
                <c:pt idx="19">
                  <c:v>-3.0749859186387938</c:v>
                </c:pt>
                <c:pt idx="20">
                  <c:v>-11.059970292768408</c:v>
                </c:pt>
                <c:pt idx="21">
                  <c:v>-0.84839503785926795</c:v>
                </c:pt>
                <c:pt idx="22">
                  <c:v>0.71437046456764053</c:v>
                </c:pt>
                <c:pt idx="23">
                  <c:v>-2.1351812386758668</c:v>
                </c:pt>
                <c:pt idx="24">
                  <c:v>0.5013134925664009</c:v>
                </c:pt>
                <c:pt idx="25">
                  <c:v>2.384263318441914</c:v>
                </c:pt>
                <c:pt idx="26">
                  <c:v>-1.9379026869094682</c:v>
                </c:pt>
                <c:pt idx="27">
                  <c:v>2.8539482419089639</c:v>
                </c:pt>
                <c:pt idx="28">
                  <c:v>8.0593863586664654</c:v>
                </c:pt>
                <c:pt idx="29">
                  <c:v>3.2407047749210127</c:v>
                </c:pt>
                <c:pt idx="30">
                  <c:v>-1.7769178032859949</c:v>
                </c:pt>
                <c:pt idx="31">
                  <c:v>-0.44046096301292725</c:v>
                </c:pt>
                <c:pt idx="32">
                  <c:v>-0.51524432798580189</c:v>
                </c:pt>
                <c:pt idx="33">
                  <c:v>2.2860519437803113</c:v>
                </c:pt>
                <c:pt idx="34">
                  <c:v>2.7251001980614475</c:v>
                </c:pt>
                <c:pt idx="35">
                  <c:v>-0.92699593085803689</c:v>
                </c:pt>
                <c:pt idx="36">
                  <c:v>-0.32005967020501314</c:v>
                </c:pt>
                <c:pt idx="37">
                  <c:v>-0.1782638658386686</c:v>
                </c:pt>
                <c:pt idx="38">
                  <c:v>5.245783319057244</c:v>
                </c:pt>
                <c:pt idx="39">
                  <c:v>1.372349823114636</c:v>
                </c:pt>
                <c:pt idx="40">
                  <c:v>6.594907035822839</c:v>
                </c:pt>
                <c:pt idx="41">
                  <c:v>0.22297547119643846</c:v>
                </c:pt>
                <c:pt idx="42">
                  <c:v>-0.29265347872694092</c:v>
                </c:pt>
                <c:pt idx="43">
                  <c:v>0.56312628868709913</c:v>
                </c:pt>
                <c:pt idx="44">
                  <c:v>2.2699061951249186</c:v>
                </c:pt>
                <c:pt idx="45">
                  <c:v>-0.77486604957450378</c:v>
                </c:pt>
                <c:pt idx="46">
                  <c:v>-2.3235607913510372</c:v>
                </c:pt>
                <c:pt idx="47">
                  <c:v>-1.0459032606893701</c:v>
                </c:pt>
                <c:pt idx="48">
                  <c:v>-2.5643947610908979</c:v>
                </c:pt>
                <c:pt idx="49">
                  <c:v>-0.9660521056828284</c:v>
                </c:pt>
                <c:pt idx="50">
                  <c:v>-1.9916343992832242</c:v>
                </c:pt>
                <c:pt idx="51">
                  <c:v>1.1512253611367365</c:v>
                </c:pt>
                <c:pt idx="52">
                  <c:v>4.1473933444017126</c:v>
                </c:pt>
                <c:pt idx="53">
                  <c:v>-6.117609913143955</c:v>
                </c:pt>
                <c:pt idx="54">
                  <c:v>-2.959156798461628</c:v>
                </c:pt>
                <c:pt idx="55">
                  <c:v>0.31900562472782945</c:v>
                </c:pt>
                <c:pt idx="56">
                  <c:v>-5.8897280440790825</c:v>
                </c:pt>
                <c:pt idx="57">
                  <c:v>-1.6602939281268299</c:v>
                </c:pt>
                <c:pt idx="58">
                  <c:v>3.0768762698377281</c:v>
                </c:pt>
                <c:pt idx="59">
                  <c:v>-2.5178059215386774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993-4C07-B1A8-822CC193D5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3830112"/>
        <c:axId val="543827232"/>
      </c:scatterChart>
      <c:valAx>
        <c:axId val="543830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Log(Volume)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543827232"/>
        <c:crosses val="autoZero"/>
        <c:crossBetween val="midCat"/>
      </c:valAx>
      <c:valAx>
        <c:axId val="5438272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4383011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Market Cap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MyDataSets!$H$2:$H$61</c:f>
              <c:numCache>
                <c:formatCode>"$"#,##0</c:formatCode>
                <c:ptCount val="60"/>
                <c:pt idx="0">
                  <c:v>130394101536</c:v>
                </c:pt>
                <c:pt idx="1">
                  <c:v>14097451632</c:v>
                </c:pt>
                <c:pt idx="2">
                  <c:v>4285941695</c:v>
                </c:pt>
                <c:pt idx="3">
                  <c:v>8359480714</c:v>
                </c:pt>
                <c:pt idx="4">
                  <c:v>2103940815</c:v>
                </c:pt>
                <c:pt idx="5">
                  <c:v>52907181306</c:v>
                </c:pt>
                <c:pt idx="6">
                  <c:v>522027683</c:v>
                </c:pt>
                <c:pt idx="7">
                  <c:v>206000</c:v>
                </c:pt>
                <c:pt idx="8">
                  <c:v>1020670721</c:v>
                </c:pt>
                <c:pt idx="9">
                  <c:v>877119319</c:v>
                </c:pt>
                <c:pt idx="10">
                  <c:v>12333635</c:v>
                </c:pt>
                <c:pt idx="11">
                  <c:v>3266170146</c:v>
                </c:pt>
                <c:pt idx="12">
                  <c:v>642831294</c:v>
                </c:pt>
                <c:pt idx="13">
                  <c:v>74854275</c:v>
                </c:pt>
                <c:pt idx="14">
                  <c:v>808693216</c:v>
                </c:pt>
                <c:pt idx="15">
                  <c:v>52994360</c:v>
                </c:pt>
                <c:pt idx="16">
                  <c:v>899314567</c:v>
                </c:pt>
                <c:pt idx="17">
                  <c:v>234519740</c:v>
                </c:pt>
                <c:pt idx="18">
                  <c:v>322805962</c:v>
                </c:pt>
                <c:pt idx="19">
                  <c:v>19852759</c:v>
                </c:pt>
                <c:pt idx="20">
                  <c:v>18446881461</c:v>
                </c:pt>
                <c:pt idx="21">
                  <c:v>87163580</c:v>
                </c:pt>
                <c:pt idx="22">
                  <c:v>2631033888</c:v>
                </c:pt>
                <c:pt idx="23">
                  <c:v>8790589451</c:v>
                </c:pt>
                <c:pt idx="24">
                  <c:v>10291724</c:v>
                </c:pt>
                <c:pt idx="25">
                  <c:v>3721681728</c:v>
                </c:pt>
                <c:pt idx="26">
                  <c:v>2475835361</c:v>
                </c:pt>
                <c:pt idx="27">
                  <c:v>254115795</c:v>
                </c:pt>
                <c:pt idx="28">
                  <c:v>9790454983</c:v>
                </c:pt>
                <c:pt idx="29">
                  <c:v>36181443</c:v>
                </c:pt>
                <c:pt idx="30">
                  <c:v>70945990</c:v>
                </c:pt>
                <c:pt idx="31">
                  <c:v>939165940</c:v>
                </c:pt>
                <c:pt idx="32">
                  <c:v>1099631636</c:v>
                </c:pt>
                <c:pt idx="33">
                  <c:v>379697042</c:v>
                </c:pt>
                <c:pt idx="34">
                  <c:v>776157310</c:v>
                </c:pt>
                <c:pt idx="35">
                  <c:v>28504319</c:v>
                </c:pt>
                <c:pt idx="36">
                  <c:v>334409414</c:v>
                </c:pt>
                <c:pt idx="37">
                  <c:v>205586103</c:v>
                </c:pt>
                <c:pt idx="38">
                  <c:v>4294027</c:v>
                </c:pt>
                <c:pt idx="39">
                  <c:v>41778475</c:v>
                </c:pt>
                <c:pt idx="40">
                  <c:v>684863861</c:v>
                </c:pt>
                <c:pt idx="41" formatCode="&quot;$&quot;#,##0_);[Red]\(&quot;$&quot;#,##0\)">
                  <c:v>748863017</c:v>
                </c:pt>
                <c:pt idx="42" formatCode="&quot;$&quot;#,##0_);[Red]\(&quot;$&quot;#,##0\)">
                  <c:v>70516100</c:v>
                </c:pt>
                <c:pt idx="43">
                  <c:v>44456249</c:v>
                </c:pt>
                <c:pt idx="44">
                  <c:v>1063588346</c:v>
                </c:pt>
                <c:pt idx="45">
                  <c:v>29558131</c:v>
                </c:pt>
                <c:pt idx="46">
                  <c:v>256386377</c:v>
                </c:pt>
                <c:pt idx="47">
                  <c:v>507059831</c:v>
                </c:pt>
                <c:pt idx="48">
                  <c:v>285150</c:v>
                </c:pt>
                <c:pt idx="49" formatCode="&quot;$&quot;#,##0_);[Red]\(&quot;$&quot;#,##0\)">
                  <c:v>523237561</c:v>
                </c:pt>
                <c:pt idx="50">
                  <c:v>1700644</c:v>
                </c:pt>
                <c:pt idx="51">
                  <c:v>68820492</c:v>
                </c:pt>
                <c:pt idx="52">
                  <c:v>7070177</c:v>
                </c:pt>
                <c:pt idx="53" formatCode="&quot;$&quot;#,##0_);[Red]\(&quot;$&quot;#,##0\)">
                  <c:v>332400664</c:v>
                </c:pt>
                <c:pt idx="54">
                  <c:v>427234765</c:v>
                </c:pt>
                <c:pt idx="55" formatCode="&quot;$&quot;#,##0_);[Red]\(&quot;$&quot;#,##0\)">
                  <c:v>802500076</c:v>
                </c:pt>
                <c:pt idx="56">
                  <c:v>41319114</c:v>
                </c:pt>
                <c:pt idx="57">
                  <c:v>19845960</c:v>
                </c:pt>
                <c:pt idx="58">
                  <c:v>1085852456</c:v>
                </c:pt>
                <c:pt idx="59">
                  <c:v>2696569</c:v>
                </c:pt>
              </c:numCache>
            </c:numRef>
          </c:xVal>
          <c:yVal>
            <c:numRef>
              <c:f>EmpiricalRegression!$C$29:$C$88</c:f>
              <c:numCache>
                <c:formatCode>General</c:formatCode>
                <c:ptCount val="60"/>
                <c:pt idx="0">
                  <c:v>1.948675315898412</c:v>
                </c:pt>
                <c:pt idx="1">
                  <c:v>1.3131194247502092</c:v>
                </c:pt>
                <c:pt idx="2">
                  <c:v>-1.4475917276538446</c:v>
                </c:pt>
                <c:pt idx="3">
                  <c:v>-4.6029782910115209</c:v>
                </c:pt>
                <c:pt idx="4">
                  <c:v>1.096145158360919</c:v>
                </c:pt>
                <c:pt idx="5">
                  <c:v>-2.3809778968925008</c:v>
                </c:pt>
                <c:pt idx="6">
                  <c:v>-1.6692945566174773</c:v>
                </c:pt>
                <c:pt idx="7">
                  <c:v>-2.9810445620005259</c:v>
                </c:pt>
                <c:pt idx="8">
                  <c:v>-4.3751434413246537</c:v>
                </c:pt>
                <c:pt idx="9">
                  <c:v>-9.2646997356961016</c:v>
                </c:pt>
                <c:pt idx="10">
                  <c:v>10.018361913623846</c:v>
                </c:pt>
                <c:pt idx="11">
                  <c:v>11.909943886444129</c:v>
                </c:pt>
                <c:pt idx="12">
                  <c:v>-0.4613538326058233</c:v>
                </c:pt>
                <c:pt idx="13">
                  <c:v>0.61875297444309951</c:v>
                </c:pt>
                <c:pt idx="14">
                  <c:v>1.8439258979738589</c:v>
                </c:pt>
                <c:pt idx="15">
                  <c:v>-1.8181727334352971</c:v>
                </c:pt>
                <c:pt idx="16">
                  <c:v>-4.3279887180040433</c:v>
                </c:pt>
                <c:pt idx="17">
                  <c:v>1.9058166563044177</c:v>
                </c:pt>
                <c:pt idx="18">
                  <c:v>7.2638539292091711</c:v>
                </c:pt>
                <c:pt idx="19">
                  <c:v>-3.0749859186387938</c:v>
                </c:pt>
                <c:pt idx="20">
                  <c:v>-11.059970292768408</c:v>
                </c:pt>
                <c:pt idx="21">
                  <c:v>-0.84839503785926795</c:v>
                </c:pt>
                <c:pt idx="22">
                  <c:v>0.71437046456764053</c:v>
                </c:pt>
                <c:pt idx="23">
                  <c:v>-2.1351812386758668</c:v>
                </c:pt>
                <c:pt idx="24">
                  <c:v>0.5013134925664009</c:v>
                </c:pt>
                <c:pt idx="25">
                  <c:v>2.384263318441914</c:v>
                </c:pt>
                <c:pt idx="26">
                  <c:v>-1.9379026869094682</c:v>
                </c:pt>
                <c:pt idx="27">
                  <c:v>2.8539482419089639</c:v>
                </c:pt>
                <c:pt idx="28">
                  <c:v>8.0593863586664654</c:v>
                </c:pt>
                <c:pt idx="29">
                  <c:v>3.2407047749210127</c:v>
                </c:pt>
                <c:pt idx="30">
                  <c:v>-1.7769178032859949</c:v>
                </c:pt>
                <c:pt idx="31">
                  <c:v>-0.44046096301292725</c:v>
                </c:pt>
                <c:pt idx="32">
                  <c:v>-0.51524432798580189</c:v>
                </c:pt>
                <c:pt idx="33">
                  <c:v>2.2860519437803113</c:v>
                </c:pt>
                <c:pt idx="34">
                  <c:v>2.7251001980614475</c:v>
                </c:pt>
                <c:pt idx="35">
                  <c:v>-0.92699593085803689</c:v>
                </c:pt>
                <c:pt idx="36">
                  <c:v>-0.32005967020501314</c:v>
                </c:pt>
                <c:pt idx="37">
                  <c:v>-0.1782638658386686</c:v>
                </c:pt>
                <c:pt idx="38">
                  <c:v>5.245783319057244</c:v>
                </c:pt>
                <c:pt idx="39">
                  <c:v>1.372349823114636</c:v>
                </c:pt>
                <c:pt idx="40">
                  <c:v>6.594907035822839</c:v>
                </c:pt>
                <c:pt idx="41">
                  <c:v>0.22297547119643846</c:v>
                </c:pt>
                <c:pt idx="42">
                  <c:v>-0.29265347872694092</c:v>
                </c:pt>
                <c:pt idx="43">
                  <c:v>0.56312628868709913</c:v>
                </c:pt>
                <c:pt idx="44">
                  <c:v>2.2699061951249186</c:v>
                </c:pt>
                <c:pt idx="45">
                  <c:v>-0.77486604957450378</c:v>
                </c:pt>
                <c:pt idx="46">
                  <c:v>-2.3235607913510372</c:v>
                </c:pt>
                <c:pt idx="47">
                  <c:v>-1.0459032606893701</c:v>
                </c:pt>
                <c:pt idx="48">
                  <c:v>-2.5643947610908979</c:v>
                </c:pt>
                <c:pt idx="49">
                  <c:v>-0.9660521056828284</c:v>
                </c:pt>
                <c:pt idx="50">
                  <c:v>-1.9916343992832242</c:v>
                </c:pt>
                <c:pt idx="51">
                  <c:v>1.1512253611367365</c:v>
                </c:pt>
                <c:pt idx="52">
                  <c:v>4.1473933444017126</c:v>
                </c:pt>
                <c:pt idx="53">
                  <c:v>-6.117609913143955</c:v>
                </c:pt>
                <c:pt idx="54">
                  <c:v>-2.959156798461628</c:v>
                </c:pt>
                <c:pt idx="55">
                  <c:v>0.31900562472782945</c:v>
                </c:pt>
                <c:pt idx="56">
                  <c:v>-5.8897280440790825</c:v>
                </c:pt>
                <c:pt idx="57">
                  <c:v>-1.6602939281268299</c:v>
                </c:pt>
                <c:pt idx="58">
                  <c:v>3.0768762698377281</c:v>
                </c:pt>
                <c:pt idx="59">
                  <c:v>-2.5178059215386774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CF0-4203-92DB-01B9897174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3830112"/>
        <c:axId val="543834912"/>
      </c:scatterChart>
      <c:valAx>
        <c:axId val="543830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Market Cap</a:t>
                </a:r>
              </a:p>
            </c:rich>
          </c:tx>
          <c:overlay val="0"/>
        </c:title>
        <c:numFmt formatCode="&quot;$&quot;#,##0" sourceLinked="1"/>
        <c:majorTickMark val="out"/>
        <c:minorTickMark val="none"/>
        <c:tickLblPos val="nextTo"/>
        <c:crossAx val="543834912"/>
        <c:crosses val="autoZero"/>
        <c:crossBetween val="midCat"/>
      </c:valAx>
      <c:valAx>
        <c:axId val="5438349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4383011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Log(Market Cap)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MyDataSets!$I$2:$I$61</c:f>
              <c:numCache>
                <c:formatCode>"$"#,##0</c:formatCode>
                <c:ptCount val="60"/>
                <c:pt idx="0">
                  <c:v>25.59382725179626</c:v>
                </c:pt>
                <c:pt idx="1">
                  <c:v>23.36925988267679</c:v>
                </c:pt>
                <c:pt idx="2">
                  <c:v>22.178606130312172</c:v>
                </c:pt>
                <c:pt idx="3">
                  <c:v>22.846662146563531</c:v>
                </c:pt>
                <c:pt idx="4">
                  <c:v>21.467078001673375</c:v>
                </c:pt>
                <c:pt idx="5">
                  <c:v>24.691804919073501</c:v>
                </c:pt>
                <c:pt idx="6">
                  <c:v>20.073231177007784</c:v>
                </c:pt>
                <c:pt idx="7">
                  <c:v>12.235631447771718</c:v>
                </c:pt>
                <c:pt idx="8">
                  <c:v>20.74372581774627</c:v>
                </c:pt>
                <c:pt idx="9">
                  <c:v>20.592153594673796</c:v>
                </c:pt>
                <c:pt idx="10">
                  <c:v>16.327840641100721</c:v>
                </c:pt>
                <c:pt idx="11">
                  <c:v>21.906883926279797</c:v>
                </c:pt>
                <c:pt idx="12">
                  <c:v>20.281392874525622</c:v>
                </c:pt>
                <c:pt idx="13">
                  <c:v>18.131053781427411</c:v>
                </c:pt>
                <c:pt idx="14">
                  <c:v>20.510930189258762</c:v>
                </c:pt>
                <c:pt idx="15">
                  <c:v>17.785696050759569</c:v>
                </c:pt>
                <c:pt idx="16">
                  <c:v>20.617143438907675</c:v>
                </c:pt>
                <c:pt idx="17">
                  <c:v>19.273050321412224</c:v>
                </c:pt>
                <c:pt idx="18">
                  <c:v>19.59256196383015</c:v>
                </c:pt>
                <c:pt idx="19">
                  <c:v>16.803853547882245</c:v>
                </c:pt>
                <c:pt idx="20">
                  <c:v>23.638161166642291</c:v>
                </c:pt>
                <c:pt idx="21">
                  <c:v>18.28329714108429</c:v>
                </c:pt>
                <c:pt idx="22">
                  <c:v>21.690642719195278</c:v>
                </c:pt>
                <c:pt idx="23">
                  <c:v>22.896947605667023</c:v>
                </c:pt>
                <c:pt idx="24">
                  <c:v>16.146850635078991</c:v>
                </c:pt>
                <c:pt idx="25">
                  <c:v>22.037441480494611</c:v>
                </c:pt>
                <c:pt idx="26">
                  <c:v>21.629843695616099</c:v>
                </c:pt>
                <c:pt idx="27">
                  <c:v>19.35330060692521</c:v>
                </c:pt>
                <c:pt idx="28">
                  <c:v>23.004673766668382</c:v>
                </c:pt>
                <c:pt idx="29">
                  <c:v>17.404056921049847</c:v>
                </c:pt>
                <c:pt idx="30">
                  <c:v>18.077429441297962</c:v>
                </c:pt>
                <c:pt idx="31">
                  <c:v>20.660502741474215</c:v>
                </c:pt>
                <c:pt idx="32">
                  <c:v>20.818241084303491</c:v>
                </c:pt>
                <c:pt idx="33">
                  <c:v>19.754884234810874</c:v>
                </c:pt>
                <c:pt idx="34">
                  <c:v>20.469865776674922</c:v>
                </c:pt>
                <c:pt idx="35">
                  <c:v>17.165566177616917</c:v>
                </c:pt>
                <c:pt idx="36">
                  <c:v>19.627876590692438</c:v>
                </c:pt>
                <c:pt idx="37">
                  <c:v>19.141375496848362</c:v>
                </c:pt>
                <c:pt idx="38">
                  <c:v>15.272735545244597</c:v>
                </c:pt>
                <c:pt idx="39">
                  <c:v>17.547891812708478</c:v>
                </c:pt>
                <c:pt idx="40">
                  <c:v>20.344730633408787</c:v>
                </c:pt>
                <c:pt idx="41" formatCode="&quot;$&quot;#,##0_);[Red]\(&quot;$&quot;#,##0\)">
                  <c:v>20.434066636905005</c:v>
                </c:pt>
                <c:pt idx="42" formatCode="&quot;$&quot;#,##0_);[Red]\(&quot;$&quot;#,##0\)">
                  <c:v>18.071351610504639</c:v>
                </c:pt>
                <c:pt idx="43">
                  <c:v>17.610016094969936</c:v>
                </c:pt>
                <c:pt idx="44">
                  <c:v>20.784914260146369</c:v>
                </c:pt>
                <c:pt idx="45">
                  <c:v>17.201869424711109</c:v>
                </c:pt>
                <c:pt idx="46">
                  <c:v>19.362196149773972</c:v>
                </c:pt>
                <c:pt idx="47">
                  <c:v>20.044139564454774</c:v>
                </c:pt>
                <c:pt idx="48">
                  <c:v>12.560770636584685</c:v>
                </c:pt>
                <c:pt idx="49" formatCode="&quot;$&quot;#,##0_);[Red]\(&quot;$&quot;#,##0\)">
                  <c:v>20.075546146432561</c:v>
                </c:pt>
                <c:pt idx="50">
                  <c:v>14.34651756082034</c:v>
                </c:pt>
                <c:pt idx="51">
                  <c:v>18.047012107392622</c:v>
                </c:pt>
                <c:pt idx="52">
                  <c:v>15.771396072920055</c:v>
                </c:pt>
                <c:pt idx="53" formatCode="&quot;$&quot;#,##0_);[Red]\(&quot;$&quot;#,##0\)">
                  <c:v>19.621851618536834</c:v>
                </c:pt>
                <c:pt idx="54">
                  <c:v>19.872844221044506</c:v>
                </c:pt>
                <c:pt idx="55" formatCode="&quot;$&quot;#,##0_);[Red]\(&quot;$&quot;#,##0\)">
                  <c:v>20.503242507672489</c:v>
                </c:pt>
                <c:pt idx="56">
                  <c:v>17.536835759585045</c:v>
                </c:pt>
                <c:pt idx="57">
                  <c:v>16.803511017934792</c:v>
                </c:pt>
                <c:pt idx="58">
                  <c:v>20.805631189191512</c:v>
                </c:pt>
                <c:pt idx="59">
                  <c:v>14.80749078215816</c:v>
                </c:pt>
              </c:numCache>
            </c:numRef>
          </c:xVal>
          <c:yVal>
            <c:numRef>
              <c:f>EmpiricalRegression!$C$29:$C$88</c:f>
              <c:numCache>
                <c:formatCode>General</c:formatCode>
                <c:ptCount val="60"/>
                <c:pt idx="0">
                  <c:v>1.948675315898412</c:v>
                </c:pt>
                <c:pt idx="1">
                  <c:v>1.3131194247502092</c:v>
                </c:pt>
                <c:pt idx="2">
                  <c:v>-1.4475917276538446</c:v>
                </c:pt>
                <c:pt idx="3">
                  <c:v>-4.6029782910115209</c:v>
                </c:pt>
                <c:pt idx="4">
                  <c:v>1.096145158360919</c:v>
                </c:pt>
                <c:pt idx="5">
                  <c:v>-2.3809778968925008</c:v>
                </c:pt>
                <c:pt idx="6">
                  <c:v>-1.6692945566174773</c:v>
                </c:pt>
                <c:pt idx="7">
                  <c:v>-2.9810445620005259</c:v>
                </c:pt>
                <c:pt idx="8">
                  <c:v>-4.3751434413246537</c:v>
                </c:pt>
                <c:pt idx="9">
                  <c:v>-9.2646997356961016</c:v>
                </c:pt>
                <c:pt idx="10">
                  <c:v>10.018361913623846</c:v>
                </c:pt>
                <c:pt idx="11">
                  <c:v>11.909943886444129</c:v>
                </c:pt>
                <c:pt idx="12">
                  <c:v>-0.4613538326058233</c:v>
                </c:pt>
                <c:pt idx="13">
                  <c:v>0.61875297444309951</c:v>
                </c:pt>
                <c:pt idx="14">
                  <c:v>1.8439258979738589</c:v>
                </c:pt>
                <c:pt idx="15">
                  <c:v>-1.8181727334352971</c:v>
                </c:pt>
                <c:pt idx="16">
                  <c:v>-4.3279887180040433</c:v>
                </c:pt>
                <c:pt idx="17">
                  <c:v>1.9058166563044177</c:v>
                </c:pt>
                <c:pt idx="18">
                  <c:v>7.2638539292091711</c:v>
                </c:pt>
                <c:pt idx="19">
                  <c:v>-3.0749859186387938</c:v>
                </c:pt>
                <c:pt idx="20">
                  <c:v>-11.059970292768408</c:v>
                </c:pt>
                <c:pt idx="21">
                  <c:v>-0.84839503785926795</c:v>
                </c:pt>
                <c:pt idx="22">
                  <c:v>0.71437046456764053</c:v>
                </c:pt>
                <c:pt idx="23">
                  <c:v>-2.1351812386758668</c:v>
                </c:pt>
                <c:pt idx="24">
                  <c:v>0.5013134925664009</c:v>
                </c:pt>
                <c:pt idx="25">
                  <c:v>2.384263318441914</c:v>
                </c:pt>
                <c:pt idx="26">
                  <c:v>-1.9379026869094682</c:v>
                </c:pt>
                <c:pt idx="27">
                  <c:v>2.8539482419089639</c:v>
                </c:pt>
                <c:pt idx="28">
                  <c:v>8.0593863586664654</c:v>
                </c:pt>
                <c:pt idx="29">
                  <c:v>3.2407047749210127</c:v>
                </c:pt>
                <c:pt idx="30">
                  <c:v>-1.7769178032859949</c:v>
                </c:pt>
                <c:pt idx="31">
                  <c:v>-0.44046096301292725</c:v>
                </c:pt>
                <c:pt idx="32">
                  <c:v>-0.51524432798580189</c:v>
                </c:pt>
                <c:pt idx="33">
                  <c:v>2.2860519437803113</c:v>
                </c:pt>
                <c:pt idx="34">
                  <c:v>2.7251001980614475</c:v>
                </c:pt>
                <c:pt idx="35">
                  <c:v>-0.92699593085803689</c:v>
                </c:pt>
                <c:pt idx="36">
                  <c:v>-0.32005967020501314</c:v>
                </c:pt>
                <c:pt idx="37">
                  <c:v>-0.1782638658386686</c:v>
                </c:pt>
                <c:pt idx="38">
                  <c:v>5.245783319057244</c:v>
                </c:pt>
                <c:pt idx="39">
                  <c:v>1.372349823114636</c:v>
                </c:pt>
                <c:pt idx="40">
                  <c:v>6.594907035822839</c:v>
                </c:pt>
                <c:pt idx="41">
                  <c:v>0.22297547119643846</c:v>
                </c:pt>
                <c:pt idx="42">
                  <c:v>-0.29265347872694092</c:v>
                </c:pt>
                <c:pt idx="43">
                  <c:v>0.56312628868709913</c:v>
                </c:pt>
                <c:pt idx="44">
                  <c:v>2.2699061951249186</c:v>
                </c:pt>
                <c:pt idx="45">
                  <c:v>-0.77486604957450378</c:v>
                </c:pt>
                <c:pt idx="46">
                  <c:v>-2.3235607913510372</c:v>
                </c:pt>
                <c:pt idx="47">
                  <c:v>-1.0459032606893701</c:v>
                </c:pt>
                <c:pt idx="48">
                  <c:v>-2.5643947610908979</c:v>
                </c:pt>
                <c:pt idx="49">
                  <c:v>-0.9660521056828284</c:v>
                </c:pt>
                <c:pt idx="50">
                  <c:v>-1.9916343992832242</c:v>
                </c:pt>
                <c:pt idx="51">
                  <c:v>1.1512253611367365</c:v>
                </c:pt>
                <c:pt idx="52">
                  <c:v>4.1473933444017126</c:v>
                </c:pt>
                <c:pt idx="53">
                  <c:v>-6.117609913143955</c:v>
                </c:pt>
                <c:pt idx="54">
                  <c:v>-2.959156798461628</c:v>
                </c:pt>
                <c:pt idx="55">
                  <c:v>0.31900562472782945</c:v>
                </c:pt>
                <c:pt idx="56">
                  <c:v>-5.8897280440790825</c:v>
                </c:pt>
                <c:pt idx="57">
                  <c:v>-1.6602939281268299</c:v>
                </c:pt>
                <c:pt idx="58">
                  <c:v>3.0768762698377281</c:v>
                </c:pt>
                <c:pt idx="59">
                  <c:v>-2.5178059215386774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A25-4AD1-A035-0032A1E7B4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709568"/>
        <c:axId val="818719168"/>
      </c:scatterChart>
      <c:valAx>
        <c:axId val="818709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Log(Market Cap)</a:t>
                </a:r>
              </a:p>
            </c:rich>
          </c:tx>
          <c:overlay val="0"/>
        </c:title>
        <c:numFmt formatCode="&quot;$&quot;#,##0" sourceLinked="1"/>
        <c:majorTickMark val="out"/>
        <c:minorTickMark val="none"/>
        <c:tickLblPos val="nextTo"/>
        <c:crossAx val="818719168"/>
        <c:crosses val="autoZero"/>
        <c:crossBetween val="midCat"/>
      </c:valAx>
      <c:valAx>
        <c:axId val="8187191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1870956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10-Year Constant Maturity Rate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MyDataSets!$J$2:$J$61</c:f>
              <c:numCache>
                <c:formatCode>0.00</c:formatCode>
                <c:ptCount val="60"/>
                <c:pt idx="0">
                  <c:v>5.87</c:v>
                </c:pt>
                <c:pt idx="1">
                  <c:v>5.87</c:v>
                </c:pt>
                <c:pt idx="2">
                  <c:v>5.87</c:v>
                </c:pt>
                <c:pt idx="3">
                  <c:v>5.87</c:v>
                </c:pt>
                <c:pt idx="4">
                  <c:v>5.87</c:v>
                </c:pt>
                <c:pt idx="5">
                  <c:v>5.87</c:v>
                </c:pt>
                <c:pt idx="6">
                  <c:v>5.87</c:v>
                </c:pt>
                <c:pt idx="7">
                  <c:v>5.87</c:v>
                </c:pt>
                <c:pt idx="8">
                  <c:v>5.87</c:v>
                </c:pt>
                <c:pt idx="9">
                  <c:v>5.87</c:v>
                </c:pt>
                <c:pt idx="10">
                  <c:v>5.87</c:v>
                </c:pt>
                <c:pt idx="11">
                  <c:v>5.87</c:v>
                </c:pt>
                <c:pt idx="12">
                  <c:v>5.87</c:v>
                </c:pt>
                <c:pt idx="13">
                  <c:v>5.87</c:v>
                </c:pt>
                <c:pt idx="14">
                  <c:v>5.87</c:v>
                </c:pt>
                <c:pt idx="15">
                  <c:v>5.87</c:v>
                </c:pt>
                <c:pt idx="16">
                  <c:v>5.87</c:v>
                </c:pt>
                <c:pt idx="17">
                  <c:v>5.87</c:v>
                </c:pt>
                <c:pt idx="18">
                  <c:v>5.87</c:v>
                </c:pt>
                <c:pt idx="19">
                  <c:v>5.87</c:v>
                </c:pt>
                <c:pt idx="20">
                  <c:v>5.87</c:v>
                </c:pt>
                <c:pt idx="21">
                  <c:v>5.87</c:v>
                </c:pt>
                <c:pt idx="22">
                  <c:v>5.87</c:v>
                </c:pt>
                <c:pt idx="23">
                  <c:v>5.87</c:v>
                </c:pt>
                <c:pt idx="24">
                  <c:v>5.87</c:v>
                </c:pt>
                <c:pt idx="25">
                  <c:v>5.87</c:v>
                </c:pt>
                <c:pt idx="26">
                  <c:v>5.87</c:v>
                </c:pt>
                <c:pt idx="27">
                  <c:v>5.87</c:v>
                </c:pt>
                <c:pt idx="28">
                  <c:v>5.87</c:v>
                </c:pt>
                <c:pt idx="29">
                  <c:v>5.87</c:v>
                </c:pt>
                <c:pt idx="30">
                  <c:v>5.87</c:v>
                </c:pt>
                <c:pt idx="31">
                  <c:v>5.87</c:v>
                </c:pt>
                <c:pt idx="32">
                  <c:v>5.87</c:v>
                </c:pt>
                <c:pt idx="33">
                  <c:v>5.87</c:v>
                </c:pt>
                <c:pt idx="34">
                  <c:v>5.87</c:v>
                </c:pt>
                <c:pt idx="35">
                  <c:v>5.87</c:v>
                </c:pt>
                <c:pt idx="36">
                  <c:v>5.87</c:v>
                </c:pt>
                <c:pt idx="37">
                  <c:v>5.87</c:v>
                </c:pt>
                <c:pt idx="38">
                  <c:v>5.87</c:v>
                </c:pt>
                <c:pt idx="39">
                  <c:v>5.87</c:v>
                </c:pt>
                <c:pt idx="40">
                  <c:v>5.87</c:v>
                </c:pt>
                <c:pt idx="41">
                  <c:v>5.87</c:v>
                </c:pt>
                <c:pt idx="42">
                  <c:v>5.87</c:v>
                </c:pt>
                <c:pt idx="43">
                  <c:v>5.87</c:v>
                </c:pt>
                <c:pt idx="44">
                  <c:v>5.87</c:v>
                </c:pt>
                <c:pt idx="45">
                  <c:v>5.87</c:v>
                </c:pt>
                <c:pt idx="46">
                  <c:v>5.87</c:v>
                </c:pt>
                <c:pt idx="47">
                  <c:v>5.87</c:v>
                </c:pt>
                <c:pt idx="48">
                  <c:v>5.87</c:v>
                </c:pt>
                <c:pt idx="49">
                  <c:v>5.87</c:v>
                </c:pt>
                <c:pt idx="50">
                  <c:v>5.87</c:v>
                </c:pt>
                <c:pt idx="51">
                  <c:v>5.87</c:v>
                </c:pt>
                <c:pt idx="52">
                  <c:v>5.87</c:v>
                </c:pt>
                <c:pt idx="53">
                  <c:v>5.87</c:v>
                </c:pt>
                <c:pt idx="54">
                  <c:v>5.87</c:v>
                </c:pt>
                <c:pt idx="55">
                  <c:v>5.87</c:v>
                </c:pt>
                <c:pt idx="56">
                  <c:v>5.87</c:v>
                </c:pt>
                <c:pt idx="57">
                  <c:v>5.87</c:v>
                </c:pt>
                <c:pt idx="58">
                  <c:v>5.87</c:v>
                </c:pt>
                <c:pt idx="59">
                  <c:v>5.87</c:v>
                </c:pt>
              </c:numCache>
            </c:numRef>
          </c:xVal>
          <c:yVal>
            <c:numRef>
              <c:f>EmpiricalRegression!$C$29:$C$88</c:f>
              <c:numCache>
                <c:formatCode>General</c:formatCode>
                <c:ptCount val="60"/>
                <c:pt idx="0">
                  <c:v>1.948675315898412</c:v>
                </c:pt>
                <c:pt idx="1">
                  <c:v>1.3131194247502092</c:v>
                </c:pt>
                <c:pt idx="2">
                  <c:v>-1.4475917276538446</c:v>
                </c:pt>
                <c:pt idx="3">
                  <c:v>-4.6029782910115209</c:v>
                </c:pt>
                <c:pt idx="4">
                  <c:v>1.096145158360919</c:v>
                </c:pt>
                <c:pt idx="5">
                  <c:v>-2.3809778968925008</c:v>
                </c:pt>
                <c:pt idx="6">
                  <c:v>-1.6692945566174773</c:v>
                </c:pt>
                <c:pt idx="7">
                  <c:v>-2.9810445620005259</c:v>
                </c:pt>
                <c:pt idx="8">
                  <c:v>-4.3751434413246537</c:v>
                </c:pt>
                <c:pt idx="9">
                  <c:v>-9.2646997356961016</c:v>
                </c:pt>
                <c:pt idx="10">
                  <c:v>10.018361913623846</c:v>
                </c:pt>
                <c:pt idx="11">
                  <c:v>11.909943886444129</c:v>
                </c:pt>
                <c:pt idx="12">
                  <c:v>-0.4613538326058233</c:v>
                </c:pt>
                <c:pt idx="13">
                  <c:v>0.61875297444309951</c:v>
                </c:pt>
                <c:pt idx="14">
                  <c:v>1.8439258979738589</c:v>
                </c:pt>
                <c:pt idx="15">
                  <c:v>-1.8181727334352971</c:v>
                </c:pt>
                <c:pt idx="16">
                  <c:v>-4.3279887180040433</c:v>
                </c:pt>
                <c:pt idx="17">
                  <c:v>1.9058166563044177</c:v>
                </c:pt>
                <c:pt idx="18">
                  <c:v>7.2638539292091711</c:v>
                </c:pt>
                <c:pt idx="19">
                  <c:v>-3.0749859186387938</c:v>
                </c:pt>
                <c:pt idx="20">
                  <c:v>-11.059970292768408</c:v>
                </c:pt>
                <c:pt idx="21">
                  <c:v>-0.84839503785926795</c:v>
                </c:pt>
                <c:pt idx="22">
                  <c:v>0.71437046456764053</c:v>
                </c:pt>
                <c:pt idx="23">
                  <c:v>-2.1351812386758668</c:v>
                </c:pt>
                <c:pt idx="24">
                  <c:v>0.5013134925664009</c:v>
                </c:pt>
                <c:pt idx="25">
                  <c:v>2.384263318441914</c:v>
                </c:pt>
                <c:pt idx="26">
                  <c:v>-1.9379026869094682</c:v>
                </c:pt>
                <c:pt idx="27">
                  <c:v>2.8539482419089639</c:v>
                </c:pt>
                <c:pt idx="28">
                  <c:v>8.0593863586664654</c:v>
                </c:pt>
                <c:pt idx="29">
                  <c:v>3.2407047749210127</c:v>
                </c:pt>
                <c:pt idx="30">
                  <c:v>-1.7769178032859949</c:v>
                </c:pt>
                <c:pt idx="31">
                  <c:v>-0.44046096301292725</c:v>
                </c:pt>
                <c:pt idx="32">
                  <c:v>-0.51524432798580189</c:v>
                </c:pt>
                <c:pt idx="33">
                  <c:v>2.2860519437803113</c:v>
                </c:pt>
                <c:pt idx="34">
                  <c:v>2.7251001980614475</c:v>
                </c:pt>
                <c:pt idx="35">
                  <c:v>-0.92699593085803689</c:v>
                </c:pt>
                <c:pt idx="36">
                  <c:v>-0.32005967020501314</c:v>
                </c:pt>
                <c:pt idx="37">
                  <c:v>-0.1782638658386686</c:v>
                </c:pt>
                <c:pt idx="38">
                  <c:v>5.245783319057244</c:v>
                </c:pt>
                <c:pt idx="39">
                  <c:v>1.372349823114636</c:v>
                </c:pt>
                <c:pt idx="40">
                  <c:v>6.594907035822839</c:v>
                </c:pt>
                <c:pt idx="41">
                  <c:v>0.22297547119643846</c:v>
                </c:pt>
                <c:pt idx="42">
                  <c:v>-0.29265347872694092</c:v>
                </c:pt>
                <c:pt idx="43">
                  <c:v>0.56312628868709913</c:v>
                </c:pt>
                <c:pt idx="44">
                  <c:v>2.2699061951249186</c:v>
                </c:pt>
                <c:pt idx="45">
                  <c:v>-0.77486604957450378</c:v>
                </c:pt>
                <c:pt idx="46">
                  <c:v>-2.3235607913510372</c:v>
                </c:pt>
                <c:pt idx="47">
                  <c:v>-1.0459032606893701</c:v>
                </c:pt>
                <c:pt idx="48">
                  <c:v>-2.5643947610908979</c:v>
                </c:pt>
                <c:pt idx="49">
                  <c:v>-0.9660521056828284</c:v>
                </c:pt>
                <c:pt idx="50">
                  <c:v>-1.9916343992832242</c:v>
                </c:pt>
                <c:pt idx="51">
                  <c:v>1.1512253611367365</c:v>
                </c:pt>
                <c:pt idx="52">
                  <c:v>4.1473933444017126</c:v>
                </c:pt>
                <c:pt idx="53">
                  <c:v>-6.117609913143955</c:v>
                </c:pt>
                <c:pt idx="54">
                  <c:v>-2.959156798461628</c:v>
                </c:pt>
                <c:pt idx="55">
                  <c:v>0.31900562472782945</c:v>
                </c:pt>
                <c:pt idx="56">
                  <c:v>-5.8897280440790825</c:v>
                </c:pt>
                <c:pt idx="57">
                  <c:v>-1.6602939281268299</c:v>
                </c:pt>
                <c:pt idx="58">
                  <c:v>3.0768762698377281</c:v>
                </c:pt>
                <c:pt idx="59">
                  <c:v>-2.5178059215386774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A6D-41AB-A253-C602239E42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720608"/>
        <c:axId val="818721088"/>
      </c:scatterChart>
      <c:valAx>
        <c:axId val="8187206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10-Year Constant Maturity Rate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818721088"/>
        <c:crosses val="autoZero"/>
        <c:crossBetween val="midCat"/>
      </c:valAx>
      <c:valAx>
        <c:axId val="8187210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18720608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Volume 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Log(Cryptocurrencies Price)</c:v>
          </c:tx>
          <c:spPr>
            <a:ln w="38100">
              <a:noFill/>
            </a:ln>
          </c:spPr>
          <c:xVal>
            <c:numRef>
              <c:f>MyDataSets!$F$2:$F$61</c:f>
              <c:numCache>
                <c:formatCode>"$"#,##0</c:formatCode>
                <c:ptCount val="60"/>
                <c:pt idx="0">
                  <c:v>21187883711</c:v>
                </c:pt>
                <c:pt idx="1">
                  <c:v>7103187151</c:v>
                </c:pt>
                <c:pt idx="2">
                  <c:v>23700467689</c:v>
                </c:pt>
                <c:pt idx="3">
                  <c:v>1125486227</c:v>
                </c:pt>
                <c:pt idx="4">
                  <c:v>168238325</c:v>
                </c:pt>
                <c:pt idx="5">
                  <c:v>17111376</c:v>
                </c:pt>
                <c:pt idx="6">
                  <c:v>235182744</c:v>
                </c:pt>
                <c:pt idx="7">
                  <c:v>206000</c:v>
                </c:pt>
                <c:pt idx="8">
                  <c:v>78089757</c:v>
                </c:pt>
                <c:pt idx="9">
                  <c:v>1134528759</c:v>
                </c:pt>
                <c:pt idx="10">
                  <c:v>81814</c:v>
                </c:pt>
                <c:pt idx="11">
                  <c:v>201197</c:v>
                </c:pt>
                <c:pt idx="12">
                  <c:v>91335137</c:v>
                </c:pt>
                <c:pt idx="13">
                  <c:v>7357262</c:v>
                </c:pt>
                <c:pt idx="14">
                  <c:v>980605</c:v>
                </c:pt>
                <c:pt idx="15">
                  <c:v>9989636</c:v>
                </c:pt>
                <c:pt idx="16">
                  <c:v>117290831</c:v>
                </c:pt>
                <c:pt idx="17">
                  <c:v>18856276</c:v>
                </c:pt>
                <c:pt idx="18">
                  <c:v>3573158</c:v>
                </c:pt>
                <c:pt idx="19">
                  <c:v>2376819</c:v>
                </c:pt>
                <c:pt idx="20">
                  <c:v>3.7022999999999998E-4</c:v>
                </c:pt>
                <c:pt idx="21">
                  <c:v>2077667</c:v>
                </c:pt>
                <c:pt idx="22">
                  <c:v>2220352351</c:v>
                </c:pt>
                <c:pt idx="23">
                  <c:v>1926142319</c:v>
                </c:pt>
                <c:pt idx="24">
                  <c:v>1651700</c:v>
                </c:pt>
                <c:pt idx="25">
                  <c:v>1661251711</c:v>
                </c:pt>
                <c:pt idx="26">
                  <c:v>1661858587</c:v>
                </c:pt>
                <c:pt idx="27">
                  <c:v>2988814</c:v>
                </c:pt>
                <c:pt idx="28">
                  <c:v>106295</c:v>
                </c:pt>
                <c:pt idx="29">
                  <c:v>1294548</c:v>
                </c:pt>
                <c:pt idx="30">
                  <c:v>6943268</c:v>
                </c:pt>
                <c:pt idx="31">
                  <c:v>57847509</c:v>
                </c:pt>
                <c:pt idx="32">
                  <c:v>824702234</c:v>
                </c:pt>
                <c:pt idx="33">
                  <c:v>230047533</c:v>
                </c:pt>
                <c:pt idx="34">
                  <c:v>95555114</c:v>
                </c:pt>
                <c:pt idx="35">
                  <c:v>13149632</c:v>
                </c:pt>
                <c:pt idx="36">
                  <c:v>40897350</c:v>
                </c:pt>
                <c:pt idx="37">
                  <c:v>5007520</c:v>
                </c:pt>
                <c:pt idx="38">
                  <c:v>318.64999999999998</c:v>
                </c:pt>
                <c:pt idx="39">
                  <c:v>2779679</c:v>
                </c:pt>
                <c:pt idx="40">
                  <c:v>379083823</c:v>
                </c:pt>
                <c:pt idx="41">
                  <c:v>57394512</c:v>
                </c:pt>
                <c:pt idx="42">
                  <c:v>7003007</c:v>
                </c:pt>
                <c:pt idx="43">
                  <c:v>296890</c:v>
                </c:pt>
                <c:pt idx="44">
                  <c:v>234318366</c:v>
                </c:pt>
                <c:pt idx="45">
                  <c:v>5015718</c:v>
                </c:pt>
                <c:pt idx="46">
                  <c:v>50630559</c:v>
                </c:pt>
                <c:pt idx="47">
                  <c:v>6312564</c:v>
                </c:pt>
                <c:pt idx="48">
                  <c:v>1756890</c:v>
                </c:pt>
                <c:pt idx="49">
                  <c:v>872337511</c:v>
                </c:pt>
                <c:pt idx="50">
                  <c:v>885272</c:v>
                </c:pt>
                <c:pt idx="51">
                  <c:v>696032</c:v>
                </c:pt>
                <c:pt idx="52">
                  <c:v>62588</c:v>
                </c:pt>
                <c:pt idx="53">
                  <c:v>85781446</c:v>
                </c:pt>
                <c:pt idx="54">
                  <c:v>10684994</c:v>
                </c:pt>
                <c:pt idx="55">
                  <c:v>104595900</c:v>
                </c:pt>
                <c:pt idx="56">
                  <c:v>42104839</c:v>
                </c:pt>
                <c:pt idx="57">
                  <c:v>6854075</c:v>
                </c:pt>
                <c:pt idx="58">
                  <c:v>221650260</c:v>
                </c:pt>
                <c:pt idx="59">
                  <c:v>5740364</c:v>
                </c:pt>
              </c:numCache>
            </c:numRef>
          </c:xVal>
          <c:yVal>
            <c:numRef>
              <c:f>MyDataSets!$E$2:$E$61</c:f>
              <c:numCache>
                <c:formatCode>_("$"* #,##0.00_);_("$"* \(#,##0.00\);_("$"* "-"??_);_(@_)</c:formatCode>
                <c:ptCount val="60"/>
                <c:pt idx="0">
                  <c:v>8.8836125044054022</c:v>
                </c:pt>
                <c:pt idx="1">
                  <c:v>4.868072767075649</c:v>
                </c:pt>
                <c:pt idx="2">
                  <c:v>-5.4014585250925179E-4</c:v>
                </c:pt>
                <c:pt idx="3">
                  <c:v>-1.6452360891527187</c:v>
                </c:pt>
                <c:pt idx="4">
                  <c:v>2.6239436918052106</c:v>
                </c:pt>
                <c:pt idx="5">
                  <c:v>-0.29949962547976289</c:v>
                </c:pt>
                <c:pt idx="6">
                  <c:v>2.1975835434872013E-3</c:v>
                </c:pt>
                <c:pt idx="7">
                  <c:v>-6.2083030172875979</c:v>
                </c:pt>
                <c:pt idx="8">
                  <c:v>-3.4123914015760479</c:v>
                </c:pt>
                <c:pt idx="9">
                  <c:v>-6.6280370841887439</c:v>
                </c:pt>
                <c:pt idx="10">
                  <c:v>6.1913804123028875</c:v>
                </c:pt>
                <c:pt idx="11">
                  <c:v>8.8833864917324785</c:v>
                </c:pt>
                <c:pt idx="12">
                  <c:v>0.58778666490211906</c:v>
                </c:pt>
                <c:pt idx="13">
                  <c:v>-9.4725270896896141E-2</c:v>
                </c:pt>
                <c:pt idx="14">
                  <c:v>-0.20509000178272344</c:v>
                </c:pt>
                <c:pt idx="15">
                  <c:v>-2.3254136939340673</c:v>
                </c:pt>
                <c:pt idx="16">
                  <c:v>-3.0972707691114474</c:v>
                </c:pt>
                <c:pt idx="17">
                  <c:v>1.8547342683894434</c:v>
                </c:pt>
                <c:pt idx="18">
                  <c:v>6.0766096002649013</c:v>
                </c:pt>
                <c:pt idx="19">
                  <c:v>-4.5790951147999701</c:v>
                </c:pt>
                <c:pt idx="20">
                  <c:v>-27.294548879307335</c:v>
                </c:pt>
                <c:pt idx="21">
                  <c:v>-2.42952113994733</c:v>
                </c:pt>
                <c:pt idx="22">
                  <c:v>3.7290612437467683</c:v>
                </c:pt>
                <c:pt idx="23">
                  <c:v>1.0885619528146082</c:v>
                </c:pt>
                <c:pt idx="24">
                  <c:v>-1.2592459376010892</c:v>
                </c:pt>
                <c:pt idx="25">
                  <c:v>5.3319455475280204</c:v>
                </c:pt>
                <c:pt idx="26">
                  <c:v>0.95551144502743635</c:v>
                </c:pt>
                <c:pt idx="27">
                  <c:v>1.5390154481375546</c:v>
                </c:pt>
                <c:pt idx="28">
                  <c:v>4.8697627352148398</c:v>
                </c:pt>
                <c:pt idx="29">
                  <c:v>1.324418957401803</c:v>
                </c:pt>
                <c:pt idx="30">
                  <c:v>-2.5308165658572022</c:v>
                </c:pt>
                <c:pt idx="31">
                  <c:v>0.3148107398400336</c:v>
                </c:pt>
                <c:pt idx="32">
                  <c:v>1.9600947840472698</c:v>
                </c:pt>
                <c:pt idx="33">
                  <c:v>3.9345669698630408</c:v>
                </c:pt>
                <c:pt idx="34">
                  <c:v>3.8117605834897517</c:v>
                </c:pt>
                <c:pt idx="35">
                  <c:v>-1.2519054362812392</c:v>
                </c:pt>
                <c:pt idx="36">
                  <c:v>0.16551443847757333</c:v>
                </c:pt>
                <c:pt idx="37">
                  <c:v>-1.1421285344258341</c:v>
                </c:pt>
                <c:pt idx="38">
                  <c:v>-2.4091797031666857</c:v>
                </c:pt>
                <c:pt idx="39">
                  <c:v>-1.6739324004297996E-2</c:v>
                </c:pt>
                <c:pt idx="40">
                  <c:v>8.5820685308241664</c:v>
                </c:pt>
                <c:pt idx="41">
                  <c:v>0.96317431777300555</c:v>
                </c:pt>
                <c:pt idx="42">
                  <c:v>-1.040734966637924</c:v>
                </c:pt>
                <c:pt idx="43">
                  <c:v>-2.3643966689619331</c:v>
                </c:pt>
                <c:pt idx="44">
                  <c:v>3.9672684796541247</c:v>
                </c:pt>
                <c:pt idx="45">
                  <c:v>-1.7615406906440585</c:v>
                </c:pt>
                <c:pt idx="46">
                  <c:v>-1.6980123285149562</c:v>
                </c:pt>
                <c:pt idx="47">
                  <c:v>-1.8304524816398671</c:v>
                </c:pt>
                <c:pt idx="48">
                  <c:v>-4.3138402749968305</c:v>
                </c:pt>
                <c:pt idx="49">
                  <c:v>1.5107219394949427</c:v>
                </c:pt>
                <c:pt idx="50">
                  <c:v>-4.1972141827366567</c:v>
                </c:pt>
                <c:pt idx="51">
                  <c:v>-1.1851674061235891</c:v>
                </c:pt>
                <c:pt idx="52">
                  <c:v>0.131028262406404</c:v>
                </c:pt>
                <c:pt idx="53">
                  <c:v>-5.1291789939843353</c:v>
                </c:pt>
                <c:pt idx="54">
                  <c:v>-3.3868803610673623</c:v>
                </c:pt>
                <c:pt idx="55">
                  <c:v>1.4678743481123135</c:v>
                </c:pt>
                <c:pt idx="56">
                  <c:v>-5.4143371576341943</c:v>
                </c:pt>
                <c:pt idx="57">
                  <c:v>-2.4361622009492123</c:v>
                </c:pt>
                <c:pt idx="58">
                  <c:v>4.7390015336216118</c:v>
                </c:pt>
                <c:pt idx="59">
                  <c:v>-3.4334781440783844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F90-4580-A053-877D9AE450B9}"/>
            </c:ext>
          </c:extLst>
        </c:ser>
        <c:ser>
          <c:idx val="1"/>
          <c:order val="1"/>
          <c:tx>
            <c:v>Predicted Log(Cryptocurrencies Price)</c:v>
          </c:tx>
          <c:spPr>
            <a:ln w="38100">
              <a:noFill/>
            </a:ln>
          </c:spPr>
          <c:xVal>
            <c:numRef>
              <c:f>MyDataSets!$F$2:$F$61</c:f>
              <c:numCache>
                <c:formatCode>"$"#,##0</c:formatCode>
                <c:ptCount val="60"/>
                <c:pt idx="0">
                  <c:v>21187883711</c:v>
                </c:pt>
                <c:pt idx="1">
                  <c:v>7103187151</c:v>
                </c:pt>
                <c:pt idx="2">
                  <c:v>23700467689</c:v>
                </c:pt>
                <c:pt idx="3">
                  <c:v>1125486227</c:v>
                </c:pt>
                <c:pt idx="4">
                  <c:v>168238325</c:v>
                </c:pt>
                <c:pt idx="5">
                  <c:v>17111376</c:v>
                </c:pt>
                <c:pt idx="6">
                  <c:v>235182744</c:v>
                </c:pt>
                <c:pt idx="7">
                  <c:v>206000</c:v>
                </c:pt>
                <c:pt idx="8">
                  <c:v>78089757</c:v>
                </c:pt>
                <c:pt idx="9">
                  <c:v>1134528759</c:v>
                </c:pt>
                <c:pt idx="10">
                  <c:v>81814</c:v>
                </c:pt>
                <c:pt idx="11">
                  <c:v>201197</c:v>
                </c:pt>
                <c:pt idx="12">
                  <c:v>91335137</c:v>
                </c:pt>
                <c:pt idx="13">
                  <c:v>7357262</c:v>
                </c:pt>
                <c:pt idx="14">
                  <c:v>980605</c:v>
                </c:pt>
                <c:pt idx="15">
                  <c:v>9989636</c:v>
                </c:pt>
                <c:pt idx="16">
                  <c:v>117290831</c:v>
                </c:pt>
                <c:pt idx="17">
                  <c:v>18856276</c:v>
                </c:pt>
                <c:pt idx="18">
                  <c:v>3573158</c:v>
                </c:pt>
                <c:pt idx="19">
                  <c:v>2376819</c:v>
                </c:pt>
                <c:pt idx="20">
                  <c:v>3.7022999999999998E-4</c:v>
                </c:pt>
                <c:pt idx="21">
                  <c:v>2077667</c:v>
                </c:pt>
                <c:pt idx="22">
                  <c:v>2220352351</c:v>
                </c:pt>
                <c:pt idx="23">
                  <c:v>1926142319</c:v>
                </c:pt>
                <c:pt idx="24">
                  <c:v>1651700</c:v>
                </c:pt>
                <c:pt idx="25">
                  <c:v>1661251711</c:v>
                </c:pt>
                <c:pt idx="26">
                  <c:v>1661858587</c:v>
                </c:pt>
                <c:pt idx="27">
                  <c:v>2988814</c:v>
                </c:pt>
                <c:pt idx="28">
                  <c:v>106295</c:v>
                </c:pt>
                <c:pt idx="29">
                  <c:v>1294548</c:v>
                </c:pt>
                <c:pt idx="30">
                  <c:v>6943268</c:v>
                </c:pt>
                <c:pt idx="31">
                  <c:v>57847509</c:v>
                </c:pt>
                <c:pt idx="32">
                  <c:v>824702234</c:v>
                </c:pt>
                <c:pt idx="33">
                  <c:v>230047533</c:v>
                </c:pt>
                <c:pt idx="34">
                  <c:v>95555114</c:v>
                </c:pt>
                <c:pt idx="35">
                  <c:v>13149632</c:v>
                </c:pt>
                <c:pt idx="36">
                  <c:v>40897350</c:v>
                </c:pt>
                <c:pt idx="37">
                  <c:v>5007520</c:v>
                </c:pt>
                <c:pt idx="38">
                  <c:v>318.64999999999998</c:v>
                </c:pt>
                <c:pt idx="39">
                  <c:v>2779679</c:v>
                </c:pt>
                <c:pt idx="40">
                  <c:v>379083823</c:v>
                </c:pt>
                <c:pt idx="41">
                  <c:v>57394512</c:v>
                </c:pt>
                <c:pt idx="42">
                  <c:v>7003007</c:v>
                </c:pt>
                <c:pt idx="43">
                  <c:v>296890</c:v>
                </c:pt>
                <c:pt idx="44">
                  <c:v>234318366</c:v>
                </c:pt>
                <c:pt idx="45">
                  <c:v>5015718</c:v>
                </c:pt>
                <c:pt idx="46">
                  <c:v>50630559</c:v>
                </c:pt>
                <c:pt idx="47">
                  <c:v>6312564</c:v>
                </c:pt>
                <c:pt idx="48">
                  <c:v>1756890</c:v>
                </c:pt>
                <c:pt idx="49">
                  <c:v>872337511</c:v>
                </c:pt>
                <c:pt idx="50">
                  <c:v>885272</c:v>
                </c:pt>
                <c:pt idx="51">
                  <c:v>696032</c:v>
                </c:pt>
                <c:pt idx="52">
                  <c:v>62588</c:v>
                </c:pt>
                <c:pt idx="53">
                  <c:v>85781446</c:v>
                </c:pt>
                <c:pt idx="54">
                  <c:v>10684994</c:v>
                </c:pt>
                <c:pt idx="55">
                  <c:v>104595900</c:v>
                </c:pt>
                <c:pt idx="56">
                  <c:v>42104839</c:v>
                </c:pt>
                <c:pt idx="57">
                  <c:v>6854075</c:v>
                </c:pt>
                <c:pt idx="58">
                  <c:v>221650260</c:v>
                </c:pt>
                <c:pt idx="59">
                  <c:v>5740364</c:v>
                </c:pt>
              </c:numCache>
            </c:numRef>
          </c:xVal>
          <c:yVal>
            <c:numRef>
              <c:f>EmpiricalRegression!$B$29:$B$88</c:f>
              <c:numCache>
                <c:formatCode>General</c:formatCode>
                <c:ptCount val="60"/>
                <c:pt idx="0">
                  <c:v>6.9349371885069901</c:v>
                </c:pt>
                <c:pt idx="1">
                  <c:v>3.5549533423254398</c:v>
                </c:pt>
                <c:pt idx="2">
                  <c:v>1.4470515818013354</c:v>
                </c:pt>
                <c:pt idx="3">
                  <c:v>2.9577422018588027</c:v>
                </c:pt>
                <c:pt idx="4">
                  <c:v>1.5277985334442916</c:v>
                </c:pt>
                <c:pt idx="5">
                  <c:v>2.0814782714127378</c:v>
                </c:pt>
                <c:pt idx="6">
                  <c:v>1.6714921401609644</c:v>
                </c:pt>
                <c:pt idx="7">
                  <c:v>-3.227258455287072</c:v>
                </c:pt>
                <c:pt idx="8">
                  <c:v>0.96275203974860601</c:v>
                </c:pt>
                <c:pt idx="9">
                  <c:v>2.6366626515073581</c:v>
                </c:pt>
                <c:pt idx="10">
                  <c:v>-3.8269815013209589</c:v>
                </c:pt>
                <c:pt idx="11">
                  <c:v>-3.0265573947116495</c:v>
                </c:pt>
                <c:pt idx="12">
                  <c:v>1.0491404975079424</c:v>
                </c:pt>
                <c:pt idx="13">
                  <c:v>-0.71347824533999571</c:v>
                </c:pt>
                <c:pt idx="14">
                  <c:v>-2.0490158997565824</c:v>
                </c:pt>
                <c:pt idx="15">
                  <c:v>-0.50724096049877032</c:v>
                </c:pt>
                <c:pt idx="16">
                  <c:v>1.2307179488925957</c:v>
                </c:pt>
                <c:pt idx="17">
                  <c:v>-5.1082387914974103E-2</c:v>
                </c:pt>
                <c:pt idx="18">
                  <c:v>-1.1872443289442698</c:v>
                </c:pt>
                <c:pt idx="19">
                  <c:v>-1.5041091961611763</c:v>
                </c:pt>
                <c:pt idx="20">
                  <c:v>-16.234578586538927</c:v>
                </c:pt>
                <c:pt idx="21">
                  <c:v>-1.581126102088062</c:v>
                </c:pt>
                <c:pt idx="22">
                  <c:v>3.0146907791791278</c:v>
                </c:pt>
                <c:pt idx="23">
                  <c:v>3.2237431914904753</c:v>
                </c:pt>
                <c:pt idx="24">
                  <c:v>-1.7605594301674901</c:v>
                </c:pt>
                <c:pt idx="25">
                  <c:v>2.9476822290861064</c:v>
                </c:pt>
                <c:pt idx="26">
                  <c:v>2.8934141319369044</c:v>
                </c:pt>
                <c:pt idx="27">
                  <c:v>-1.314932793771409</c:v>
                </c:pt>
                <c:pt idx="28">
                  <c:v>-3.1896236234516264</c:v>
                </c:pt>
                <c:pt idx="29">
                  <c:v>-1.9162858175192097</c:v>
                </c:pt>
                <c:pt idx="30">
                  <c:v>-0.75389876257120725</c:v>
                </c:pt>
                <c:pt idx="31">
                  <c:v>0.75527170285296086</c:v>
                </c:pt>
                <c:pt idx="32">
                  <c:v>2.4753391120330717</c:v>
                </c:pt>
                <c:pt idx="33">
                  <c:v>1.6485150260827297</c:v>
                </c:pt>
                <c:pt idx="34">
                  <c:v>1.0866603854283043</c:v>
                </c:pt>
                <c:pt idx="35">
                  <c:v>-0.32490950542320229</c:v>
                </c:pt>
                <c:pt idx="36">
                  <c:v>0.48557410868258644</c:v>
                </c:pt>
                <c:pt idx="37">
                  <c:v>-0.96386466858716546</c:v>
                </c:pt>
                <c:pt idx="38">
                  <c:v>-7.6549630222239298</c:v>
                </c:pt>
                <c:pt idx="39">
                  <c:v>-1.3890891471189339</c:v>
                </c:pt>
                <c:pt idx="40">
                  <c:v>1.9871614950013274</c:v>
                </c:pt>
                <c:pt idx="41">
                  <c:v>0.74019884657656709</c:v>
                </c:pt>
                <c:pt idx="42">
                  <c:v>-0.74808148791098306</c:v>
                </c:pt>
                <c:pt idx="43">
                  <c:v>-2.9275229576490323</c:v>
                </c:pt>
                <c:pt idx="44">
                  <c:v>1.6973622845292058</c:v>
                </c:pt>
                <c:pt idx="45">
                  <c:v>-0.98667464106955471</c:v>
                </c:pt>
                <c:pt idx="46">
                  <c:v>0.6255484628360809</c:v>
                </c:pt>
                <c:pt idx="47">
                  <c:v>-0.78454922095049695</c:v>
                </c:pt>
                <c:pt idx="48">
                  <c:v>-1.7494455139059324</c:v>
                </c:pt>
                <c:pt idx="49">
                  <c:v>2.4767740451777711</c:v>
                </c:pt>
                <c:pt idx="50">
                  <c:v>-2.2055797834534325</c:v>
                </c:pt>
                <c:pt idx="51">
                  <c:v>-2.3363927672603255</c:v>
                </c:pt>
                <c:pt idx="52">
                  <c:v>-4.0163650819953087</c:v>
                </c:pt>
                <c:pt idx="53">
                  <c:v>0.98843091915961956</c:v>
                </c:pt>
                <c:pt idx="54">
                  <c:v>-0.4277235626057343</c:v>
                </c:pt>
                <c:pt idx="55">
                  <c:v>1.1488687233844841</c:v>
                </c:pt>
                <c:pt idx="56">
                  <c:v>0.47539088644488808</c:v>
                </c:pt>
                <c:pt idx="57">
                  <c:v>-0.77586827282238235</c:v>
                </c:pt>
                <c:pt idx="58">
                  <c:v>1.6621252637838837</c:v>
                </c:pt>
                <c:pt idx="59">
                  <c:v>-0.91567222253970693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F90-4580-A053-877D9AE450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724928"/>
        <c:axId val="818723008"/>
      </c:scatterChart>
      <c:valAx>
        <c:axId val="818724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Volume </a:t>
                </a:r>
              </a:p>
            </c:rich>
          </c:tx>
          <c:overlay val="0"/>
        </c:title>
        <c:numFmt formatCode="&quot;$&quot;#,##0" sourceLinked="1"/>
        <c:majorTickMark val="out"/>
        <c:minorTickMark val="none"/>
        <c:tickLblPos val="nextTo"/>
        <c:crossAx val="818723008"/>
        <c:crosses val="autoZero"/>
        <c:crossBetween val="midCat"/>
      </c:valAx>
      <c:valAx>
        <c:axId val="8187230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Log(Cryptocurrencies Price)</a:t>
                </a:r>
              </a:p>
            </c:rich>
          </c:tx>
          <c:overlay val="0"/>
        </c:title>
        <c:numFmt formatCode="_(&quot;$&quot;* #,##0.00_);_(&quot;$&quot;* \(#,##0.00\);_(&quot;$&quot;* &quot;-&quot;??_);_(@_)" sourceLinked="1"/>
        <c:majorTickMark val="out"/>
        <c:minorTickMark val="none"/>
        <c:tickLblPos val="nextTo"/>
        <c:crossAx val="81872492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3851852098117345"/>
          <c:y val="0.32517462527630414"/>
          <c:w val="0.3438888879653933"/>
          <c:h val="0.57337574315591278"/>
        </c:manualLayout>
      </c:layout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Log(Volume)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Log(Cryptocurrencies Price)</c:v>
          </c:tx>
          <c:spPr>
            <a:ln w="38100">
              <a:noFill/>
            </a:ln>
          </c:spPr>
          <c:xVal>
            <c:numRef>
              <c:f>MyDataSets!$G$2:$G$61</c:f>
              <c:numCache>
                <c:formatCode>0.00</c:formatCode>
                <c:ptCount val="60"/>
                <c:pt idx="0">
                  <c:v>23.776695332176779</c:v>
                </c:pt>
                <c:pt idx="1">
                  <c:v>22.683809414777727</c:v>
                </c:pt>
                <c:pt idx="2">
                  <c:v>23.888760618605868</c:v>
                </c:pt>
                <c:pt idx="3">
                  <c:v>20.841480981008289</c:v>
                </c:pt>
                <c:pt idx="4">
                  <c:v>18.940892133293939</c:v>
                </c:pt>
                <c:pt idx="5">
                  <c:v>16.655254063441344</c:v>
                </c:pt>
                <c:pt idx="6">
                  <c:v>19.275873403950293</c:v>
                </c:pt>
                <c:pt idx="7">
                  <c:v>12.235631447771718</c:v>
                </c:pt>
                <c:pt idx="8">
                  <c:v>18.173369453839932</c:v>
                </c:pt>
                <c:pt idx="9">
                  <c:v>20.849483211356045</c:v>
                </c:pt>
                <c:pt idx="10">
                  <c:v>11.312203657090748</c:v>
                </c:pt>
                <c:pt idx="11">
                  <c:v>12.212039806559778</c:v>
                </c:pt>
                <c:pt idx="12">
                  <c:v>18.330046123664424</c:v>
                </c:pt>
                <c:pt idx="13">
                  <c:v>15.811198410622284</c:v>
                </c:pt>
                <c:pt idx="14">
                  <c:v>13.7959250071053</c:v>
                </c:pt>
                <c:pt idx="15">
                  <c:v>16.117058713524475</c:v>
                </c:pt>
                <c:pt idx="16">
                  <c:v>18.580167143475574</c:v>
                </c:pt>
                <c:pt idx="17">
                  <c:v>16.752356360741722</c:v>
                </c:pt>
                <c:pt idx="18">
                  <c:v>15.088960356570809</c:v>
                </c:pt>
                <c:pt idx="19">
                  <c:v>14.681273597040017</c:v>
                </c:pt>
                <c:pt idx="20">
                  <c:v>-7.9013861238310721</c:v>
                </c:pt>
                <c:pt idx="21">
                  <c:v>14.546756187559252</c:v>
                </c:pt>
                <c:pt idx="22">
                  <c:v>21.520931736903108</c:v>
                </c:pt>
                <c:pt idx="23">
                  <c:v>21.378785041154135</c:v>
                </c:pt>
                <c:pt idx="24">
                  <c:v>14.317315618509182</c:v>
                </c:pt>
                <c:pt idx="25">
                  <c:v>21.230837197938527</c:v>
                </c:pt>
                <c:pt idx="26">
                  <c:v>21.231202443718729</c:v>
                </c:pt>
                <c:pt idx="27">
                  <c:v>14.910387211159865</c:v>
                </c:pt>
                <c:pt idx="28">
                  <c:v>11.573973526535163</c:v>
                </c:pt>
                <c:pt idx="29">
                  <c:v>14.073672157439935</c:v>
                </c:pt>
                <c:pt idx="30">
                  <c:v>15.753283115019254</c:v>
                </c:pt>
                <c:pt idx="31">
                  <c:v>17.873320951039876</c:v>
                </c:pt>
                <c:pt idx="32">
                  <c:v>20.530532950663744</c:v>
                </c:pt>
                <c:pt idx="33">
                  <c:v>19.253796510752547</c:v>
                </c:pt>
                <c:pt idx="34">
                  <c:v>18.375213748934698</c:v>
                </c:pt>
                <c:pt idx="35">
                  <c:v>16.391904331405591</c:v>
                </c:pt>
                <c:pt idx="36">
                  <c:v>17.526575826737886</c:v>
                </c:pt>
                <c:pt idx="37">
                  <c:v>15.426451340523121</c:v>
                </c:pt>
                <c:pt idx="38">
                  <c:v>5.7640933217603028</c:v>
                </c:pt>
                <c:pt idx="39">
                  <c:v>14.837846011374021</c:v>
                </c:pt>
                <c:pt idx="40">
                  <c:v>19.753267907457907</c:v>
                </c:pt>
                <c:pt idx="41">
                  <c:v>17.865459246962793</c:v>
                </c:pt>
                <c:pt idx="42">
                  <c:v>15.761850186208767</c:v>
                </c:pt>
                <c:pt idx="43">
                  <c:v>12.60111697881042</c:v>
                </c:pt>
                <c:pt idx="44">
                  <c:v>19.272191287089687</c:v>
                </c:pt>
                <c:pt idx="45">
                  <c:v>15.428087139618791</c:v>
                </c:pt>
                <c:pt idx="46">
                  <c:v>17.740065884769994</c:v>
                </c:pt>
                <c:pt idx="47">
                  <c:v>15.658052491128219</c:v>
                </c:pt>
                <c:pt idx="48">
                  <c:v>14.379055758493358</c:v>
                </c:pt>
                <c:pt idx="49">
                  <c:v>20.586686960886297</c:v>
                </c:pt>
                <c:pt idx="50">
                  <c:v>13.693650221402148</c:v>
                </c:pt>
                <c:pt idx="51">
                  <c:v>13.45315091527114</c:v>
                </c:pt>
                <c:pt idx="52">
                  <c:v>11.044328845421948</c:v>
                </c:pt>
                <c:pt idx="53">
                  <c:v>18.267313293987172</c:v>
                </c:pt>
                <c:pt idx="54">
                  <c:v>16.184350885200367</c:v>
                </c:pt>
                <c:pt idx="55">
                  <c:v>18.465614911886149</c:v>
                </c:pt>
                <c:pt idx="56">
                  <c:v>17.555673232665022</c:v>
                </c:pt>
                <c:pt idx="57">
                  <c:v>15.740353923872142</c:v>
                </c:pt>
                <c:pt idx="58">
                  <c:v>19.216611292175177</c:v>
                </c:pt>
                <c:pt idx="59">
                  <c:v>15.563033180919273</c:v>
                </c:pt>
              </c:numCache>
            </c:numRef>
          </c:xVal>
          <c:yVal>
            <c:numRef>
              <c:f>MyDataSets!$E$2:$E$61</c:f>
              <c:numCache>
                <c:formatCode>_("$"* #,##0.00_);_("$"* \(#,##0.00\);_("$"* "-"??_);_(@_)</c:formatCode>
                <c:ptCount val="60"/>
                <c:pt idx="0">
                  <c:v>8.8836125044054022</c:v>
                </c:pt>
                <c:pt idx="1">
                  <c:v>4.868072767075649</c:v>
                </c:pt>
                <c:pt idx="2">
                  <c:v>-5.4014585250925179E-4</c:v>
                </c:pt>
                <c:pt idx="3">
                  <c:v>-1.6452360891527187</c:v>
                </c:pt>
                <c:pt idx="4">
                  <c:v>2.6239436918052106</c:v>
                </c:pt>
                <c:pt idx="5">
                  <c:v>-0.29949962547976289</c:v>
                </c:pt>
                <c:pt idx="6">
                  <c:v>2.1975835434872013E-3</c:v>
                </c:pt>
                <c:pt idx="7">
                  <c:v>-6.2083030172875979</c:v>
                </c:pt>
                <c:pt idx="8">
                  <c:v>-3.4123914015760479</c:v>
                </c:pt>
                <c:pt idx="9">
                  <c:v>-6.6280370841887439</c:v>
                </c:pt>
                <c:pt idx="10">
                  <c:v>6.1913804123028875</c:v>
                </c:pt>
                <c:pt idx="11">
                  <c:v>8.8833864917324785</c:v>
                </c:pt>
                <c:pt idx="12">
                  <c:v>0.58778666490211906</c:v>
                </c:pt>
                <c:pt idx="13">
                  <c:v>-9.4725270896896141E-2</c:v>
                </c:pt>
                <c:pt idx="14">
                  <c:v>-0.20509000178272344</c:v>
                </c:pt>
                <c:pt idx="15">
                  <c:v>-2.3254136939340673</c:v>
                </c:pt>
                <c:pt idx="16">
                  <c:v>-3.0972707691114474</c:v>
                </c:pt>
                <c:pt idx="17">
                  <c:v>1.8547342683894434</c:v>
                </c:pt>
                <c:pt idx="18">
                  <c:v>6.0766096002649013</c:v>
                </c:pt>
                <c:pt idx="19">
                  <c:v>-4.5790951147999701</c:v>
                </c:pt>
                <c:pt idx="20">
                  <c:v>-27.294548879307335</c:v>
                </c:pt>
                <c:pt idx="21">
                  <c:v>-2.42952113994733</c:v>
                </c:pt>
                <c:pt idx="22">
                  <c:v>3.7290612437467683</c:v>
                </c:pt>
                <c:pt idx="23">
                  <c:v>1.0885619528146082</c:v>
                </c:pt>
                <c:pt idx="24">
                  <c:v>-1.2592459376010892</c:v>
                </c:pt>
                <c:pt idx="25">
                  <c:v>5.3319455475280204</c:v>
                </c:pt>
                <c:pt idx="26">
                  <c:v>0.95551144502743635</c:v>
                </c:pt>
                <c:pt idx="27">
                  <c:v>1.5390154481375546</c:v>
                </c:pt>
                <c:pt idx="28">
                  <c:v>4.8697627352148398</c:v>
                </c:pt>
                <c:pt idx="29">
                  <c:v>1.324418957401803</c:v>
                </c:pt>
                <c:pt idx="30">
                  <c:v>-2.5308165658572022</c:v>
                </c:pt>
                <c:pt idx="31">
                  <c:v>0.3148107398400336</c:v>
                </c:pt>
                <c:pt idx="32">
                  <c:v>1.9600947840472698</c:v>
                </c:pt>
                <c:pt idx="33">
                  <c:v>3.9345669698630408</c:v>
                </c:pt>
                <c:pt idx="34">
                  <c:v>3.8117605834897517</c:v>
                </c:pt>
                <c:pt idx="35">
                  <c:v>-1.2519054362812392</c:v>
                </c:pt>
                <c:pt idx="36">
                  <c:v>0.16551443847757333</c:v>
                </c:pt>
                <c:pt idx="37">
                  <c:v>-1.1421285344258341</c:v>
                </c:pt>
                <c:pt idx="38">
                  <c:v>-2.4091797031666857</c:v>
                </c:pt>
                <c:pt idx="39">
                  <c:v>-1.6739324004297996E-2</c:v>
                </c:pt>
                <c:pt idx="40">
                  <c:v>8.5820685308241664</c:v>
                </c:pt>
                <c:pt idx="41">
                  <c:v>0.96317431777300555</c:v>
                </c:pt>
                <c:pt idx="42">
                  <c:v>-1.040734966637924</c:v>
                </c:pt>
                <c:pt idx="43">
                  <c:v>-2.3643966689619331</c:v>
                </c:pt>
                <c:pt idx="44">
                  <c:v>3.9672684796541247</c:v>
                </c:pt>
                <c:pt idx="45">
                  <c:v>-1.7615406906440585</c:v>
                </c:pt>
                <c:pt idx="46">
                  <c:v>-1.6980123285149562</c:v>
                </c:pt>
                <c:pt idx="47">
                  <c:v>-1.8304524816398671</c:v>
                </c:pt>
                <c:pt idx="48">
                  <c:v>-4.3138402749968305</c:v>
                </c:pt>
                <c:pt idx="49">
                  <c:v>1.5107219394949427</c:v>
                </c:pt>
                <c:pt idx="50">
                  <c:v>-4.1972141827366567</c:v>
                </c:pt>
                <c:pt idx="51">
                  <c:v>-1.1851674061235891</c:v>
                </c:pt>
                <c:pt idx="52">
                  <c:v>0.131028262406404</c:v>
                </c:pt>
                <c:pt idx="53">
                  <c:v>-5.1291789939843353</c:v>
                </c:pt>
                <c:pt idx="54">
                  <c:v>-3.3868803610673623</c:v>
                </c:pt>
                <c:pt idx="55">
                  <c:v>1.4678743481123135</c:v>
                </c:pt>
                <c:pt idx="56">
                  <c:v>-5.4143371576341943</c:v>
                </c:pt>
                <c:pt idx="57">
                  <c:v>-2.4361622009492123</c:v>
                </c:pt>
                <c:pt idx="58">
                  <c:v>4.7390015336216118</c:v>
                </c:pt>
                <c:pt idx="59">
                  <c:v>-3.4334781440783844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E31-4DDD-A0DC-1F2E94BDDA56}"/>
            </c:ext>
          </c:extLst>
        </c:ser>
        <c:ser>
          <c:idx val="1"/>
          <c:order val="1"/>
          <c:tx>
            <c:v>Predicted Log(Cryptocurrencies Price)</c:v>
          </c:tx>
          <c:spPr>
            <a:ln w="38100">
              <a:noFill/>
            </a:ln>
          </c:spPr>
          <c:xVal>
            <c:numRef>
              <c:f>MyDataSets!$G$2:$G$61</c:f>
              <c:numCache>
                <c:formatCode>0.00</c:formatCode>
                <c:ptCount val="60"/>
                <c:pt idx="0">
                  <c:v>23.776695332176779</c:v>
                </c:pt>
                <c:pt idx="1">
                  <c:v>22.683809414777727</c:v>
                </c:pt>
                <c:pt idx="2">
                  <c:v>23.888760618605868</c:v>
                </c:pt>
                <c:pt idx="3">
                  <c:v>20.841480981008289</c:v>
                </c:pt>
                <c:pt idx="4">
                  <c:v>18.940892133293939</c:v>
                </c:pt>
                <c:pt idx="5">
                  <c:v>16.655254063441344</c:v>
                </c:pt>
                <c:pt idx="6">
                  <c:v>19.275873403950293</c:v>
                </c:pt>
                <c:pt idx="7">
                  <c:v>12.235631447771718</c:v>
                </c:pt>
                <c:pt idx="8">
                  <c:v>18.173369453839932</c:v>
                </c:pt>
                <c:pt idx="9">
                  <c:v>20.849483211356045</c:v>
                </c:pt>
                <c:pt idx="10">
                  <c:v>11.312203657090748</c:v>
                </c:pt>
                <c:pt idx="11">
                  <c:v>12.212039806559778</c:v>
                </c:pt>
                <c:pt idx="12">
                  <c:v>18.330046123664424</c:v>
                </c:pt>
                <c:pt idx="13">
                  <c:v>15.811198410622284</c:v>
                </c:pt>
                <c:pt idx="14">
                  <c:v>13.7959250071053</c:v>
                </c:pt>
                <c:pt idx="15">
                  <c:v>16.117058713524475</c:v>
                </c:pt>
                <c:pt idx="16">
                  <c:v>18.580167143475574</c:v>
                </c:pt>
                <c:pt idx="17">
                  <c:v>16.752356360741722</c:v>
                </c:pt>
                <c:pt idx="18">
                  <c:v>15.088960356570809</c:v>
                </c:pt>
                <c:pt idx="19">
                  <c:v>14.681273597040017</c:v>
                </c:pt>
                <c:pt idx="20">
                  <c:v>-7.9013861238310721</c:v>
                </c:pt>
                <c:pt idx="21">
                  <c:v>14.546756187559252</c:v>
                </c:pt>
                <c:pt idx="22">
                  <c:v>21.520931736903108</c:v>
                </c:pt>
                <c:pt idx="23">
                  <c:v>21.378785041154135</c:v>
                </c:pt>
                <c:pt idx="24">
                  <c:v>14.317315618509182</c:v>
                </c:pt>
                <c:pt idx="25">
                  <c:v>21.230837197938527</c:v>
                </c:pt>
                <c:pt idx="26">
                  <c:v>21.231202443718729</c:v>
                </c:pt>
                <c:pt idx="27">
                  <c:v>14.910387211159865</c:v>
                </c:pt>
                <c:pt idx="28">
                  <c:v>11.573973526535163</c:v>
                </c:pt>
                <c:pt idx="29">
                  <c:v>14.073672157439935</c:v>
                </c:pt>
                <c:pt idx="30">
                  <c:v>15.753283115019254</c:v>
                </c:pt>
                <c:pt idx="31">
                  <c:v>17.873320951039876</c:v>
                </c:pt>
                <c:pt idx="32">
                  <c:v>20.530532950663744</c:v>
                </c:pt>
                <c:pt idx="33">
                  <c:v>19.253796510752547</c:v>
                </c:pt>
                <c:pt idx="34">
                  <c:v>18.375213748934698</c:v>
                </c:pt>
                <c:pt idx="35">
                  <c:v>16.391904331405591</c:v>
                </c:pt>
                <c:pt idx="36">
                  <c:v>17.526575826737886</c:v>
                </c:pt>
                <c:pt idx="37">
                  <c:v>15.426451340523121</c:v>
                </c:pt>
                <c:pt idx="38">
                  <c:v>5.7640933217603028</c:v>
                </c:pt>
                <c:pt idx="39">
                  <c:v>14.837846011374021</c:v>
                </c:pt>
                <c:pt idx="40">
                  <c:v>19.753267907457907</c:v>
                </c:pt>
                <c:pt idx="41">
                  <c:v>17.865459246962793</c:v>
                </c:pt>
                <c:pt idx="42">
                  <c:v>15.761850186208767</c:v>
                </c:pt>
                <c:pt idx="43">
                  <c:v>12.60111697881042</c:v>
                </c:pt>
                <c:pt idx="44">
                  <c:v>19.272191287089687</c:v>
                </c:pt>
                <c:pt idx="45">
                  <c:v>15.428087139618791</c:v>
                </c:pt>
                <c:pt idx="46">
                  <c:v>17.740065884769994</c:v>
                </c:pt>
                <c:pt idx="47">
                  <c:v>15.658052491128219</c:v>
                </c:pt>
                <c:pt idx="48">
                  <c:v>14.379055758493358</c:v>
                </c:pt>
                <c:pt idx="49">
                  <c:v>20.586686960886297</c:v>
                </c:pt>
                <c:pt idx="50">
                  <c:v>13.693650221402148</c:v>
                </c:pt>
                <c:pt idx="51">
                  <c:v>13.45315091527114</c:v>
                </c:pt>
                <c:pt idx="52">
                  <c:v>11.044328845421948</c:v>
                </c:pt>
                <c:pt idx="53">
                  <c:v>18.267313293987172</c:v>
                </c:pt>
                <c:pt idx="54">
                  <c:v>16.184350885200367</c:v>
                </c:pt>
                <c:pt idx="55">
                  <c:v>18.465614911886149</c:v>
                </c:pt>
                <c:pt idx="56">
                  <c:v>17.555673232665022</c:v>
                </c:pt>
                <c:pt idx="57">
                  <c:v>15.740353923872142</c:v>
                </c:pt>
                <c:pt idx="58">
                  <c:v>19.216611292175177</c:v>
                </c:pt>
                <c:pt idx="59">
                  <c:v>15.563033180919273</c:v>
                </c:pt>
              </c:numCache>
            </c:numRef>
          </c:xVal>
          <c:yVal>
            <c:numRef>
              <c:f>EmpiricalRegression!$B$29:$B$88</c:f>
              <c:numCache>
                <c:formatCode>General</c:formatCode>
                <c:ptCount val="60"/>
                <c:pt idx="0">
                  <c:v>6.9349371885069901</c:v>
                </c:pt>
                <c:pt idx="1">
                  <c:v>3.5549533423254398</c:v>
                </c:pt>
                <c:pt idx="2">
                  <c:v>1.4470515818013354</c:v>
                </c:pt>
                <c:pt idx="3">
                  <c:v>2.9577422018588027</c:v>
                </c:pt>
                <c:pt idx="4">
                  <c:v>1.5277985334442916</c:v>
                </c:pt>
                <c:pt idx="5">
                  <c:v>2.0814782714127378</c:v>
                </c:pt>
                <c:pt idx="6">
                  <c:v>1.6714921401609644</c:v>
                </c:pt>
                <c:pt idx="7">
                  <c:v>-3.227258455287072</c:v>
                </c:pt>
                <c:pt idx="8">
                  <c:v>0.96275203974860601</c:v>
                </c:pt>
                <c:pt idx="9">
                  <c:v>2.6366626515073581</c:v>
                </c:pt>
                <c:pt idx="10">
                  <c:v>-3.8269815013209589</c:v>
                </c:pt>
                <c:pt idx="11">
                  <c:v>-3.0265573947116495</c:v>
                </c:pt>
                <c:pt idx="12">
                  <c:v>1.0491404975079424</c:v>
                </c:pt>
                <c:pt idx="13">
                  <c:v>-0.71347824533999571</c:v>
                </c:pt>
                <c:pt idx="14">
                  <c:v>-2.0490158997565824</c:v>
                </c:pt>
                <c:pt idx="15">
                  <c:v>-0.50724096049877032</c:v>
                </c:pt>
                <c:pt idx="16">
                  <c:v>1.2307179488925957</c:v>
                </c:pt>
                <c:pt idx="17">
                  <c:v>-5.1082387914974103E-2</c:v>
                </c:pt>
                <c:pt idx="18">
                  <c:v>-1.1872443289442698</c:v>
                </c:pt>
                <c:pt idx="19">
                  <c:v>-1.5041091961611763</c:v>
                </c:pt>
                <c:pt idx="20">
                  <c:v>-16.234578586538927</c:v>
                </c:pt>
                <c:pt idx="21">
                  <c:v>-1.581126102088062</c:v>
                </c:pt>
                <c:pt idx="22">
                  <c:v>3.0146907791791278</c:v>
                </c:pt>
                <c:pt idx="23">
                  <c:v>3.2237431914904753</c:v>
                </c:pt>
                <c:pt idx="24">
                  <c:v>-1.7605594301674901</c:v>
                </c:pt>
                <c:pt idx="25">
                  <c:v>2.9476822290861064</c:v>
                </c:pt>
                <c:pt idx="26">
                  <c:v>2.8934141319369044</c:v>
                </c:pt>
                <c:pt idx="27">
                  <c:v>-1.314932793771409</c:v>
                </c:pt>
                <c:pt idx="28">
                  <c:v>-3.1896236234516264</c:v>
                </c:pt>
                <c:pt idx="29">
                  <c:v>-1.9162858175192097</c:v>
                </c:pt>
                <c:pt idx="30">
                  <c:v>-0.75389876257120725</c:v>
                </c:pt>
                <c:pt idx="31">
                  <c:v>0.75527170285296086</c:v>
                </c:pt>
                <c:pt idx="32">
                  <c:v>2.4753391120330717</c:v>
                </c:pt>
                <c:pt idx="33">
                  <c:v>1.6485150260827297</c:v>
                </c:pt>
                <c:pt idx="34">
                  <c:v>1.0866603854283043</c:v>
                </c:pt>
                <c:pt idx="35">
                  <c:v>-0.32490950542320229</c:v>
                </c:pt>
                <c:pt idx="36">
                  <c:v>0.48557410868258644</c:v>
                </c:pt>
                <c:pt idx="37">
                  <c:v>-0.96386466858716546</c:v>
                </c:pt>
                <c:pt idx="38">
                  <c:v>-7.6549630222239298</c:v>
                </c:pt>
                <c:pt idx="39">
                  <c:v>-1.3890891471189339</c:v>
                </c:pt>
                <c:pt idx="40">
                  <c:v>1.9871614950013274</c:v>
                </c:pt>
                <c:pt idx="41">
                  <c:v>0.74019884657656709</c:v>
                </c:pt>
                <c:pt idx="42">
                  <c:v>-0.74808148791098306</c:v>
                </c:pt>
                <c:pt idx="43">
                  <c:v>-2.9275229576490323</c:v>
                </c:pt>
                <c:pt idx="44">
                  <c:v>1.6973622845292058</c:v>
                </c:pt>
                <c:pt idx="45">
                  <c:v>-0.98667464106955471</c:v>
                </c:pt>
                <c:pt idx="46">
                  <c:v>0.6255484628360809</c:v>
                </c:pt>
                <c:pt idx="47">
                  <c:v>-0.78454922095049695</c:v>
                </c:pt>
                <c:pt idx="48">
                  <c:v>-1.7494455139059324</c:v>
                </c:pt>
                <c:pt idx="49">
                  <c:v>2.4767740451777711</c:v>
                </c:pt>
                <c:pt idx="50">
                  <c:v>-2.2055797834534325</c:v>
                </c:pt>
                <c:pt idx="51">
                  <c:v>-2.3363927672603255</c:v>
                </c:pt>
                <c:pt idx="52">
                  <c:v>-4.0163650819953087</c:v>
                </c:pt>
                <c:pt idx="53">
                  <c:v>0.98843091915961956</c:v>
                </c:pt>
                <c:pt idx="54">
                  <c:v>-0.4277235626057343</c:v>
                </c:pt>
                <c:pt idx="55">
                  <c:v>1.1488687233844841</c:v>
                </c:pt>
                <c:pt idx="56">
                  <c:v>0.47539088644488808</c:v>
                </c:pt>
                <c:pt idx="57">
                  <c:v>-0.77586827282238235</c:v>
                </c:pt>
                <c:pt idx="58">
                  <c:v>1.6621252637838837</c:v>
                </c:pt>
                <c:pt idx="59">
                  <c:v>-0.91567222253970693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E31-4DDD-A0DC-1F2E94BDDA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724928"/>
        <c:axId val="818723968"/>
      </c:scatterChart>
      <c:valAx>
        <c:axId val="818724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Log(Volume)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818723968"/>
        <c:crosses val="autoZero"/>
        <c:crossBetween val="midCat"/>
      </c:valAx>
      <c:valAx>
        <c:axId val="8187239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Log(Cryptocurrencies Price)</a:t>
                </a:r>
              </a:p>
            </c:rich>
          </c:tx>
          <c:overlay val="0"/>
        </c:title>
        <c:numFmt formatCode="_(&quot;$&quot;* #,##0.00_);_(&quot;$&quot;* \(#,##0.00\);_(&quot;$&quot;* &quot;-&quot;??_);_(@_)" sourceLinked="1"/>
        <c:majorTickMark val="out"/>
        <c:minorTickMark val="none"/>
        <c:tickLblPos val="nextTo"/>
        <c:crossAx val="81872492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Market Cap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Log(Cryptocurrencies Price)</c:v>
          </c:tx>
          <c:spPr>
            <a:ln w="38100">
              <a:noFill/>
            </a:ln>
          </c:spPr>
          <c:xVal>
            <c:numRef>
              <c:f>MyDataSets!$H$2:$H$61</c:f>
              <c:numCache>
                <c:formatCode>"$"#,##0</c:formatCode>
                <c:ptCount val="60"/>
                <c:pt idx="0">
                  <c:v>130394101536</c:v>
                </c:pt>
                <c:pt idx="1">
                  <c:v>14097451632</c:v>
                </c:pt>
                <c:pt idx="2">
                  <c:v>4285941695</c:v>
                </c:pt>
                <c:pt idx="3">
                  <c:v>8359480714</c:v>
                </c:pt>
                <c:pt idx="4">
                  <c:v>2103940815</c:v>
                </c:pt>
                <c:pt idx="5">
                  <c:v>52907181306</c:v>
                </c:pt>
                <c:pt idx="6">
                  <c:v>522027683</c:v>
                </c:pt>
                <c:pt idx="7">
                  <c:v>206000</c:v>
                </c:pt>
                <c:pt idx="8">
                  <c:v>1020670721</c:v>
                </c:pt>
                <c:pt idx="9">
                  <c:v>877119319</c:v>
                </c:pt>
                <c:pt idx="10">
                  <c:v>12333635</c:v>
                </c:pt>
                <c:pt idx="11">
                  <c:v>3266170146</c:v>
                </c:pt>
                <c:pt idx="12">
                  <c:v>642831294</c:v>
                </c:pt>
                <c:pt idx="13">
                  <c:v>74854275</c:v>
                </c:pt>
                <c:pt idx="14">
                  <c:v>808693216</c:v>
                </c:pt>
                <c:pt idx="15">
                  <c:v>52994360</c:v>
                </c:pt>
                <c:pt idx="16">
                  <c:v>899314567</c:v>
                </c:pt>
                <c:pt idx="17">
                  <c:v>234519740</c:v>
                </c:pt>
                <c:pt idx="18">
                  <c:v>322805962</c:v>
                </c:pt>
                <c:pt idx="19">
                  <c:v>19852759</c:v>
                </c:pt>
                <c:pt idx="20">
                  <c:v>18446881461</c:v>
                </c:pt>
                <c:pt idx="21">
                  <c:v>87163580</c:v>
                </c:pt>
                <c:pt idx="22">
                  <c:v>2631033888</c:v>
                </c:pt>
                <c:pt idx="23">
                  <c:v>8790589451</c:v>
                </c:pt>
                <c:pt idx="24">
                  <c:v>10291724</c:v>
                </c:pt>
                <c:pt idx="25">
                  <c:v>3721681728</c:v>
                </c:pt>
                <c:pt idx="26">
                  <c:v>2475835361</c:v>
                </c:pt>
                <c:pt idx="27">
                  <c:v>254115795</c:v>
                </c:pt>
                <c:pt idx="28">
                  <c:v>9790454983</c:v>
                </c:pt>
                <c:pt idx="29">
                  <c:v>36181443</c:v>
                </c:pt>
                <c:pt idx="30">
                  <c:v>70945990</c:v>
                </c:pt>
                <c:pt idx="31">
                  <c:v>939165940</c:v>
                </c:pt>
                <c:pt idx="32">
                  <c:v>1099631636</c:v>
                </c:pt>
                <c:pt idx="33">
                  <c:v>379697042</c:v>
                </c:pt>
                <c:pt idx="34">
                  <c:v>776157310</c:v>
                </c:pt>
                <c:pt idx="35">
                  <c:v>28504319</c:v>
                </c:pt>
                <c:pt idx="36">
                  <c:v>334409414</c:v>
                </c:pt>
                <c:pt idx="37">
                  <c:v>205586103</c:v>
                </c:pt>
                <c:pt idx="38">
                  <c:v>4294027</c:v>
                </c:pt>
                <c:pt idx="39">
                  <c:v>41778475</c:v>
                </c:pt>
                <c:pt idx="40">
                  <c:v>684863861</c:v>
                </c:pt>
                <c:pt idx="41" formatCode="&quot;$&quot;#,##0_);[Red]\(&quot;$&quot;#,##0\)">
                  <c:v>748863017</c:v>
                </c:pt>
                <c:pt idx="42" formatCode="&quot;$&quot;#,##0_);[Red]\(&quot;$&quot;#,##0\)">
                  <c:v>70516100</c:v>
                </c:pt>
                <c:pt idx="43">
                  <c:v>44456249</c:v>
                </c:pt>
                <c:pt idx="44">
                  <c:v>1063588346</c:v>
                </c:pt>
                <c:pt idx="45">
                  <c:v>29558131</c:v>
                </c:pt>
                <c:pt idx="46">
                  <c:v>256386377</c:v>
                </c:pt>
                <c:pt idx="47">
                  <c:v>507059831</c:v>
                </c:pt>
                <c:pt idx="48">
                  <c:v>285150</c:v>
                </c:pt>
                <c:pt idx="49" formatCode="&quot;$&quot;#,##0_);[Red]\(&quot;$&quot;#,##0\)">
                  <c:v>523237561</c:v>
                </c:pt>
                <c:pt idx="50">
                  <c:v>1700644</c:v>
                </c:pt>
                <c:pt idx="51">
                  <c:v>68820492</c:v>
                </c:pt>
                <c:pt idx="52">
                  <c:v>7070177</c:v>
                </c:pt>
                <c:pt idx="53" formatCode="&quot;$&quot;#,##0_);[Red]\(&quot;$&quot;#,##0\)">
                  <c:v>332400664</c:v>
                </c:pt>
                <c:pt idx="54">
                  <c:v>427234765</c:v>
                </c:pt>
                <c:pt idx="55" formatCode="&quot;$&quot;#,##0_);[Red]\(&quot;$&quot;#,##0\)">
                  <c:v>802500076</c:v>
                </c:pt>
                <c:pt idx="56">
                  <c:v>41319114</c:v>
                </c:pt>
                <c:pt idx="57">
                  <c:v>19845960</c:v>
                </c:pt>
                <c:pt idx="58">
                  <c:v>1085852456</c:v>
                </c:pt>
                <c:pt idx="59">
                  <c:v>2696569</c:v>
                </c:pt>
              </c:numCache>
            </c:numRef>
          </c:xVal>
          <c:yVal>
            <c:numRef>
              <c:f>MyDataSets!$E$2:$E$61</c:f>
              <c:numCache>
                <c:formatCode>_("$"* #,##0.00_);_("$"* \(#,##0.00\);_("$"* "-"??_);_(@_)</c:formatCode>
                <c:ptCount val="60"/>
                <c:pt idx="0">
                  <c:v>8.8836125044054022</c:v>
                </c:pt>
                <c:pt idx="1">
                  <c:v>4.868072767075649</c:v>
                </c:pt>
                <c:pt idx="2">
                  <c:v>-5.4014585250925179E-4</c:v>
                </c:pt>
                <c:pt idx="3">
                  <c:v>-1.6452360891527187</c:v>
                </c:pt>
                <c:pt idx="4">
                  <c:v>2.6239436918052106</c:v>
                </c:pt>
                <c:pt idx="5">
                  <c:v>-0.29949962547976289</c:v>
                </c:pt>
                <c:pt idx="6">
                  <c:v>2.1975835434872013E-3</c:v>
                </c:pt>
                <c:pt idx="7">
                  <c:v>-6.2083030172875979</c:v>
                </c:pt>
                <c:pt idx="8">
                  <c:v>-3.4123914015760479</c:v>
                </c:pt>
                <c:pt idx="9">
                  <c:v>-6.6280370841887439</c:v>
                </c:pt>
                <c:pt idx="10">
                  <c:v>6.1913804123028875</c:v>
                </c:pt>
                <c:pt idx="11">
                  <c:v>8.8833864917324785</c:v>
                </c:pt>
                <c:pt idx="12">
                  <c:v>0.58778666490211906</c:v>
                </c:pt>
                <c:pt idx="13">
                  <c:v>-9.4725270896896141E-2</c:v>
                </c:pt>
                <c:pt idx="14">
                  <c:v>-0.20509000178272344</c:v>
                </c:pt>
                <c:pt idx="15">
                  <c:v>-2.3254136939340673</c:v>
                </c:pt>
                <c:pt idx="16">
                  <c:v>-3.0972707691114474</c:v>
                </c:pt>
                <c:pt idx="17">
                  <c:v>1.8547342683894434</c:v>
                </c:pt>
                <c:pt idx="18">
                  <c:v>6.0766096002649013</c:v>
                </c:pt>
                <c:pt idx="19">
                  <c:v>-4.5790951147999701</c:v>
                </c:pt>
                <c:pt idx="20">
                  <c:v>-27.294548879307335</c:v>
                </c:pt>
                <c:pt idx="21">
                  <c:v>-2.42952113994733</c:v>
                </c:pt>
                <c:pt idx="22">
                  <c:v>3.7290612437467683</c:v>
                </c:pt>
                <c:pt idx="23">
                  <c:v>1.0885619528146082</c:v>
                </c:pt>
                <c:pt idx="24">
                  <c:v>-1.2592459376010892</c:v>
                </c:pt>
                <c:pt idx="25">
                  <c:v>5.3319455475280204</c:v>
                </c:pt>
                <c:pt idx="26">
                  <c:v>0.95551144502743635</c:v>
                </c:pt>
                <c:pt idx="27">
                  <c:v>1.5390154481375546</c:v>
                </c:pt>
                <c:pt idx="28">
                  <c:v>4.8697627352148398</c:v>
                </c:pt>
                <c:pt idx="29">
                  <c:v>1.324418957401803</c:v>
                </c:pt>
                <c:pt idx="30">
                  <c:v>-2.5308165658572022</c:v>
                </c:pt>
                <c:pt idx="31">
                  <c:v>0.3148107398400336</c:v>
                </c:pt>
                <c:pt idx="32">
                  <c:v>1.9600947840472698</c:v>
                </c:pt>
                <c:pt idx="33">
                  <c:v>3.9345669698630408</c:v>
                </c:pt>
                <c:pt idx="34">
                  <c:v>3.8117605834897517</c:v>
                </c:pt>
                <c:pt idx="35">
                  <c:v>-1.2519054362812392</c:v>
                </c:pt>
                <c:pt idx="36">
                  <c:v>0.16551443847757333</c:v>
                </c:pt>
                <c:pt idx="37">
                  <c:v>-1.1421285344258341</c:v>
                </c:pt>
                <c:pt idx="38">
                  <c:v>-2.4091797031666857</c:v>
                </c:pt>
                <c:pt idx="39">
                  <c:v>-1.6739324004297996E-2</c:v>
                </c:pt>
                <c:pt idx="40">
                  <c:v>8.5820685308241664</c:v>
                </c:pt>
                <c:pt idx="41">
                  <c:v>0.96317431777300555</c:v>
                </c:pt>
                <c:pt idx="42">
                  <c:v>-1.040734966637924</c:v>
                </c:pt>
                <c:pt idx="43">
                  <c:v>-2.3643966689619331</c:v>
                </c:pt>
                <c:pt idx="44">
                  <c:v>3.9672684796541247</c:v>
                </c:pt>
                <c:pt idx="45">
                  <c:v>-1.7615406906440585</c:v>
                </c:pt>
                <c:pt idx="46">
                  <c:v>-1.6980123285149562</c:v>
                </c:pt>
                <c:pt idx="47">
                  <c:v>-1.8304524816398671</c:v>
                </c:pt>
                <c:pt idx="48">
                  <c:v>-4.3138402749968305</c:v>
                </c:pt>
                <c:pt idx="49">
                  <c:v>1.5107219394949427</c:v>
                </c:pt>
                <c:pt idx="50">
                  <c:v>-4.1972141827366567</c:v>
                </c:pt>
                <c:pt idx="51">
                  <c:v>-1.1851674061235891</c:v>
                </c:pt>
                <c:pt idx="52">
                  <c:v>0.131028262406404</c:v>
                </c:pt>
                <c:pt idx="53">
                  <c:v>-5.1291789939843353</c:v>
                </c:pt>
                <c:pt idx="54">
                  <c:v>-3.3868803610673623</c:v>
                </c:pt>
                <c:pt idx="55">
                  <c:v>1.4678743481123135</c:v>
                </c:pt>
                <c:pt idx="56">
                  <c:v>-5.4143371576341943</c:v>
                </c:pt>
                <c:pt idx="57">
                  <c:v>-2.4361622009492123</c:v>
                </c:pt>
                <c:pt idx="58">
                  <c:v>4.7390015336216118</c:v>
                </c:pt>
                <c:pt idx="59">
                  <c:v>-3.4334781440783844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6CF-4C84-983C-5ECA4B43F9F4}"/>
            </c:ext>
          </c:extLst>
        </c:ser>
        <c:ser>
          <c:idx val="1"/>
          <c:order val="1"/>
          <c:tx>
            <c:v>Predicted Log(Cryptocurrencies Price)</c:v>
          </c:tx>
          <c:spPr>
            <a:ln w="38100">
              <a:noFill/>
            </a:ln>
          </c:spPr>
          <c:xVal>
            <c:numRef>
              <c:f>MyDataSets!$H$2:$H$61</c:f>
              <c:numCache>
                <c:formatCode>"$"#,##0</c:formatCode>
                <c:ptCount val="60"/>
                <c:pt idx="0">
                  <c:v>130394101536</c:v>
                </c:pt>
                <c:pt idx="1">
                  <c:v>14097451632</c:v>
                </c:pt>
                <c:pt idx="2">
                  <c:v>4285941695</c:v>
                </c:pt>
                <c:pt idx="3">
                  <c:v>8359480714</c:v>
                </c:pt>
                <c:pt idx="4">
                  <c:v>2103940815</c:v>
                </c:pt>
                <c:pt idx="5">
                  <c:v>52907181306</c:v>
                </c:pt>
                <c:pt idx="6">
                  <c:v>522027683</c:v>
                </c:pt>
                <c:pt idx="7">
                  <c:v>206000</c:v>
                </c:pt>
                <c:pt idx="8">
                  <c:v>1020670721</c:v>
                </c:pt>
                <c:pt idx="9">
                  <c:v>877119319</c:v>
                </c:pt>
                <c:pt idx="10">
                  <c:v>12333635</c:v>
                </c:pt>
                <c:pt idx="11">
                  <c:v>3266170146</c:v>
                </c:pt>
                <c:pt idx="12">
                  <c:v>642831294</c:v>
                </c:pt>
                <c:pt idx="13">
                  <c:v>74854275</c:v>
                </c:pt>
                <c:pt idx="14">
                  <c:v>808693216</c:v>
                </c:pt>
                <c:pt idx="15">
                  <c:v>52994360</c:v>
                </c:pt>
                <c:pt idx="16">
                  <c:v>899314567</c:v>
                </c:pt>
                <c:pt idx="17">
                  <c:v>234519740</c:v>
                </c:pt>
                <c:pt idx="18">
                  <c:v>322805962</c:v>
                </c:pt>
                <c:pt idx="19">
                  <c:v>19852759</c:v>
                </c:pt>
                <c:pt idx="20">
                  <c:v>18446881461</c:v>
                </c:pt>
                <c:pt idx="21">
                  <c:v>87163580</c:v>
                </c:pt>
                <c:pt idx="22">
                  <c:v>2631033888</c:v>
                </c:pt>
                <c:pt idx="23">
                  <c:v>8790589451</c:v>
                </c:pt>
                <c:pt idx="24">
                  <c:v>10291724</c:v>
                </c:pt>
                <c:pt idx="25">
                  <c:v>3721681728</c:v>
                </c:pt>
                <c:pt idx="26">
                  <c:v>2475835361</c:v>
                </c:pt>
                <c:pt idx="27">
                  <c:v>254115795</c:v>
                </c:pt>
                <c:pt idx="28">
                  <c:v>9790454983</c:v>
                </c:pt>
                <c:pt idx="29">
                  <c:v>36181443</c:v>
                </c:pt>
                <c:pt idx="30">
                  <c:v>70945990</c:v>
                </c:pt>
                <c:pt idx="31">
                  <c:v>939165940</c:v>
                </c:pt>
                <c:pt idx="32">
                  <c:v>1099631636</c:v>
                </c:pt>
                <c:pt idx="33">
                  <c:v>379697042</c:v>
                </c:pt>
                <c:pt idx="34">
                  <c:v>776157310</c:v>
                </c:pt>
                <c:pt idx="35">
                  <c:v>28504319</c:v>
                </c:pt>
                <c:pt idx="36">
                  <c:v>334409414</c:v>
                </c:pt>
                <c:pt idx="37">
                  <c:v>205586103</c:v>
                </c:pt>
                <c:pt idx="38">
                  <c:v>4294027</c:v>
                </c:pt>
                <c:pt idx="39">
                  <c:v>41778475</c:v>
                </c:pt>
                <c:pt idx="40">
                  <c:v>684863861</c:v>
                </c:pt>
                <c:pt idx="41" formatCode="&quot;$&quot;#,##0_);[Red]\(&quot;$&quot;#,##0\)">
                  <c:v>748863017</c:v>
                </c:pt>
                <c:pt idx="42" formatCode="&quot;$&quot;#,##0_);[Red]\(&quot;$&quot;#,##0\)">
                  <c:v>70516100</c:v>
                </c:pt>
                <c:pt idx="43">
                  <c:v>44456249</c:v>
                </c:pt>
                <c:pt idx="44">
                  <c:v>1063588346</c:v>
                </c:pt>
                <c:pt idx="45">
                  <c:v>29558131</c:v>
                </c:pt>
                <c:pt idx="46">
                  <c:v>256386377</c:v>
                </c:pt>
                <c:pt idx="47">
                  <c:v>507059831</c:v>
                </c:pt>
                <c:pt idx="48">
                  <c:v>285150</c:v>
                </c:pt>
                <c:pt idx="49" formatCode="&quot;$&quot;#,##0_);[Red]\(&quot;$&quot;#,##0\)">
                  <c:v>523237561</c:v>
                </c:pt>
                <c:pt idx="50">
                  <c:v>1700644</c:v>
                </c:pt>
                <c:pt idx="51">
                  <c:v>68820492</c:v>
                </c:pt>
                <c:pt idx="52">
                  <c:v>7070177</c:v>
                </c:pt>
                <c:pt idx="53" formatCode="&quot;$&quot;#,##0_);[Red]\(&quot;$&quot;#,##0\)">
                  <c:v>332400664</c:v>
                </c:pt>
                <c:pt idx="54">
                  <c:v>427234765</c:v>
                </c:pt>
                <c:pt idx="55" formatCode="&quot;$&quot;#,##0_);[Red]\(&quot;$&quot;#,##0\)">
                  <c:v>802500076</c:v>
                </c:pt>
                <c:pt idx="56">
                  <c:v>41319114</c:v>
                </c:pt>
                <c:pt idx="57">
                  <c:v>19845960</c:v>
                </c:pt>
                <c:pt idx="58">
                  <c:v>1085852456</c:v>
                </c:pt>
                <c:pt idx="59">
                  <c:v>2696569</c:v>
                </c:pt>
              </c:numCache>
            </c:numRef>
          </c:xVal>
          <c:yVal>
            <c:numRef>
              <c:f>EmpiricalRegression!$B$29:$B$88</c:f>
              <c:numCache>
                <c:formatCode>General</c:formatCode>
                <c:ptCount val="60"/>
                <c:pt idx="0">
                  <c:v>6.9349371885069901</c:v>
                </c:pt>
                <c:pt idx="1">
                  <c:v>3.5549533423254398</c:v>
                </c:pt>
                <c:pt idx="2">
                  <c:v>1.4470515818013354</c:v>
                </c:pt>
                <c:pt idx="3">
                  <c:v>2.9577422018588027</c:v>
                </c:pt>
                <c:pt idx="4">
                  <c:v>1.5277985334442916</c:v>
                </c:pt>
                <c:pt idx="5">
                  <c:v>2.0814782714127378</c:v>
                </c:pt>
                <c:pt idx="6">
                  <c:v>1.6714921401609644</c:v>
                </c:pt>
                <c:pt idx="7">
                  <c:v>-3.227258455287072</c:v>
                </c:pt>
                <c:pt idx="8">
                  <c:v>0.96275203974860601</c:v>
                </c:pt>
                <c:pt idx="9">
                  <c:v>2.6366626515073581</c:v>
                </c:pt>
                <c:pt idx="10">
                  <c:v>-3.8269815013209589</c:v>
                </c:pt>
                <c:pt idx="11">
                  <c:v>-3.0265573947116495</c:v>
                </c:pt>
                <c:pt idx="12">
                  <c:v>1.0491404975079424</c:v>
                </c:pt>
                <c:pt idx="13">
                  <c:v>-0.71347824533999571</c:v>
                </c:pt>
                <c:pt idx="14">
                  <c:v>-2.0490158997565824</c:v>
                </c:pt>
                <c:pt idx="15">
                  <c:v>-0.50724096049877032</c:v>
                </c:pt>
                <c:pt idx="16">
                  <c:v>1.2307179488925957</c:v>
                </c:pt>
                <c:pt idx="17">
                  <c:v>-5.1082387914974103E-2</c:v>
                </c:pt>
                <c:pt idx="18">
                  <c:v>-1.1872443289442698</c:v>
                </c:pt>
                <c:pt idx="19">
                  <c:v>-1.5041091961611763</c:v>
                </c:pt>
                <c:pt idx="20">
                  <c:v>-16.234578586538927</c:v>
                </c:pt>
                <c:pt idx="21">
                  <c:v>-1.581126102088062</c:v>
                </c:pt>
                <c:pt idx="22">
                  <c:v>3.0146907791791278</c:v>
                </c:pt>
                <c:pt idx="23">
                  <c:v>3.2237431914904753</c:v>
                </c:pt>
                <c:pt idx="24">
                  <c:v>-1.7605594301674901</c:v>
                </c:pt>
                <c:pt idx="25">
                  <c:v>2.9476822290861064</c:v>
                </c:pt>
                <c:pt idx="26">
                  <c:v>2.8934141319369044</c:v>
                </c:pt>
                <c:pt idx="27">
                  <c:v>-1.314932793771409</c:v>
                </c:pt>
                <c:pt idx="28">
                  <c:v>-3.1896236234516264</c:v>
                </c:pt>
                <c:pt idx="29">
                  <c:v>-1.9162858175192097</c:v>
                </c:pt>
                <c:pt idx="30">
                  <c:v>-0.75389876257120725</c:v>
                </c:pt>
                <c:pt idx="31">
                  <c:v>0.75527170285296086</c:v>
                </c:pt>
                <c:pt idx="32">
                  <c:v>2.4753391120330717</c:v>
                </c:pt>
                <c:pt idx="33">
                  <c:v>1.6485150260827297</c:v>
                </c:pt>
                <c:pt idx="34">
                  <c:v>1.0866603854283043</c:v>
                </c:pt>
                <c:pt idx="35">
                  <c:v>-0.32490950542320229</c:v>
                </c:pt>
                <c:pt idx="36">
                  <c:v>0.48557410868258644</c:v>
                </c:pt>
                <c:pt idx="37">
                  <c:v>-0.96386466858716546</c:v>
                </c:pt>
                <c:pt idx="38">
                  <c:v>-7.6549630222239298</c:v>
                </c:pt>
                <c:pt idx="39">
                  <c:v>-1.3890891471189339</c:v>
                </c:pt>
                <c:pt idx="40">
                  <c:v>1.9871614950013274</c:v>
                </c:pt>
                <c:pt idx="41">
                  <c:v>0.74019884657656709</c:v>
                </c:pt>
                <c:pt idx="42">
                  <c:v>-0.74808148791098306</c:v>
                </c:pt>
                <c:pt idx="43">
                  <c:v>-2.9275229576490323</c:v>
                </c:pt>
                <c:pt idx="44">
                  <c:v>1.6973622845292058</c:v>
                </c:pt>
                <c:pt idx="45">
                  <c:v>-0.98667464106955471</c:v>
                </c:pt>
                <c:pt idx="46">
                  <c:v>0.6255484628360809</c:v>
                </c:pt>
                <c:pt idx="47">
                  <c:v>-0.78454922095049695</c:v>
                </c:pt>
                <c:pt idx="48">
                  <c:v>-1.7494455139059324</c:v>
                </c:pt>
                <c:pt idx="49">
                  <c:v>2.4767740451777711</c:v>
                </c:pt>
                <c:pt idx="50">
                  <c:v>-2.2055797834534325</c:v>
                </c:pt>
                <c:pt idx="51">
                  <c:v>-2.3363927672603255</c:v>
                </c:pt>
                <c:pt idx="52">
                  <c:v>-4.0163650819953087</c:v>
                </c:pt>
                <c:pt idx="53">
                  <c:v>0.98843091915961956</c:v>
                </c:pt>
                <c:pt idx="54">
                  <c:v>-0.4277235626057343</c:v>
                </c:pt>
                <c:pt idx="55">
                  <c:v>1.1488687233844841</c:v>
                </c:pt>
                <c:pt idx="56">
                  <c:v>0.47539088644488808</c:v>
                </c:pt>
                <c:pt idx="57">
                  <c:v>-0.77586827282238235</c:v>
                </c:pt>
                <c:pt idx="58">
                  <c:v>1.6621252637838837</c:v>
                </c:pt>
                <c:pt idx="59">
                  <c:v>-0.91567222253970693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6CF-4C84-983C-5ECA4B43F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724928"/>
        <c:axId val="818718208"/>
      </c:scatterChart>
      <c:valAx>
        <c:axId val="818724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Market Cap</a:t>
                </a:r>
              </a:p>
            </c:rich>
          </c:tx>
          <c:overlay val="0"/>
        </c:title>
        <c:numFmt formatCode="&quot;$&quot;#,##0" sourceLinked="1"/>
        <c:majorTickMark val="out"/>
        <c:minorTickMark val="none"/>
        <c:tickLblPos val="nextTo"/>
        <c:crossAx val="818718208"/>
        <c:crosses val="autoZero"/>
        <c:crossBetween val="midCat"/>
      </c:valAx>
      <c:valAx>
        <c:axId val="81871820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Log(Cryptocurrencies Price)</a:t>
                </a:r>
              </a:p>
            </c:rich>
          </c:tx>
          <c:overlay val="0"/>
        </c:title>
        <c:numFmt formatCode="_(&quot;$&quot;* #,##0.00_);_(&quot;$&quot;* \(#,##0.00\);_(&quot;$&quot;* &quot;-&quot;??_);_(@_)" sourceLinked="1"/>
        <c:majorTickMark val="out"/>
        <c:minorTickMark val="none"/>
        <c:tickLblPos val="nextTo"/>
        <c:crossAx val="81872492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Log(Market Cap)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Log(Cryptocurrencies Price)</c:v>
          </c:tx>
          <c:spPr>
            <a:ln w="38100">
              <a:noFill/>
            </a:ln>
          </c:spPr>
          <c:xVal>
            <c:numRef>
              <c:f>MyDataSets!$I$2:$I$61</c:f>
              <c:numCache>
                <c:formatCode>"$"#,##0</c:formatCode>
                <c:ptCount val="60"/>
                <c:pt idx="0">
                  <c:v>25.59382725179626</c:v>
                </c:pt>
                <c:pt idx="1">
                  <c:v>23.36925988267679</c:v>
                </c:pt>
                <c:pt idx="2">
                  <c:v>22.178606130312172</c:v>
                </c:pt>
                <c:pt idx="3">
                  <c:v>22.846662146563531</c:v>
                </c:pt>
                <c:pt idx="4">
                  <c:v>21.467078001673375</c:v>
                </c:pt>
                <c:pt idx="5">
                  <c:v>24.691804919073501</c:v>
                </c:pt>
                <c:pt idx="6">
                  <c:v>20.073231177007784</c:v>
                </c:pt>
                <c:pt idx="7">
                  <c:v>12.235631447771718</c:v>
                </c:pt>
                <c:pt idx="8">
                  <c:v>20.74372581774627</c:v>
                </c:pt>
                <c:pt idx="9">
                  <c:v>20.592153594673796</c:v>
                </c:pt>
                <c:pt idx="10">
                  <c:v>16.327840641100721</c:v>
                </c:pt>
                <c:pt idx="11">
                  <c:v>21.906883926279797</c:v>
                </c:pt>
                <c:pt idx="12">
                  <c:v>20.281392874525622</c:v>
                </c:pt>
                <c:pt idx="13">
                  <c:v>18.131053781427411</c:v>
                </c:pt>
                <c:pt idx="14">
                  <c:v>20.510930189258762</c:v>
                </c:pt>
                <c:pt idx="15">
                  <c:v>17.785696050759569</c:v>
                </c:pt>
                <c:pt idx="16">
                  <c:v>20.617143438907675</c:v>
                </c:pt>
                <c:pt idx="17">
                  <c:v>19.273050321412224</c:v>
                </c:pt>
                <c:pt idx="18">
                  <c:v>19.59256196383015</c:v>
                </c:pt>
                <c:pt idx="19">
                  <c:v>16.803853547882245</c:v>
                </c:pt>
                <c:pt idx="20">
                  <c:v>23.638161166642291</c:v>
                </c:pt>
                <c:pt idx="21">
                  <c:v>18.28329714108429</c:v>
                </c:pt>
                <c:pt idx="22">
                  <c:v>21.690642719195278</c:v>
                </c:pt>
                <c:pt idx="23">
                  <c:v>22.896947605667023</c:v>
                </c:pt>
                <c:pt idx="24">
                  <c:v>16.146850635078991</c:v>
                </c:pt>
                <c:pt idx="25">
                  <c:v>22.037441480494611</c:v>
                </c:pt>
                <c:pt idx="26">
                  <c:v>21.629843695616099</c:v>
                </c:pt>
                <c:pt idx="27">
                  <c:v>19.35330060692521</c:v>
                </c:pt>
                <c:pt idx="28">
                  <c:v>23.004673766668382</c:v>
                </c:pt>
                <c:pt idx="29">
                  <c:v>17.404056921049847</c:v>
                </c:pt>
                <c:pt idx="30">
                  <c:v>18.077429441297962</c:v>
                </c:pt>
                <c:pt idx="31">
                  <c:v>20.660502741474215</c:v>
                </c:pt>
                <c:pt idx="32">
                  <c:v>20.818241084303491</c:v>
                </c:pt>
                <c:pt idx="33">
                  <c:v>19.754884234810874</c:v>
                </c:pt>
                <c:pt idx="34">
                  <c:v>20.469865776674922</c:v>
                </c:pt>
                <c:pt idx="35">
                  <c:v>17.165566177616917</c:v>
                </c:pt>
                <c:pt idx="36">
                  <c:v>19.627876590692438</c:v>
                </c:pt>
                <c:pt idx="37">
                  <c:v>19.141375496848362</c:v>
                </c:pt>
                <c:pt idx="38">
                  <c:v>15.272735545244597</c:v>
                </c:pt>
                <c:pt idx="39">
                  <c:v>17.547891812708478</c:v>
                </c:pt>
                <c:pt idx="40">
                  <c:v>20.344730633408787</c:v>
                </c:pt>
                <c:pt idx="41" formatCode="&quot;$&quot;#,##0_);[Red]\(&quot;$&quot;#,##0\)">
                  <c:v>20.434066636905005</c:v>
                </c:pt>
                <c:pt idx="42" formatCode="&quot;$&quot;#,##0_);[Red]\(&quot;$&quot;#,##0\)">
                  <c:v>18.071351610504639</c:v>
                </c:pt>
                <c:pt idx="43">
                  <c:v>17.610016094969936</c:v>
                </c:pt>
                <c:pt idx="44">
                  <c:v>20.784914260146369</c:v>
                </c:pt>
                <c:pt idx="45">
                  <c:v>17.201869424711109</c:v>
                </c:pt>
                <c:pt idx="46">
                  <c:v>19.362196149773972</c:v>
                </c:pt>
                <c:pt idx="47">
                  <c:v>20.044139564454774</c:v>
                </c:pt>
                <c:pt idx="48">
                  <c:v>12.560770636584685</c:v>
                </c:pt>
                <c:pt idx="49" formatCode="&quot;$&quot;#,##0_);[Red]\(&quot;$&quot;#,##0\)">
                  <c:v>20.075546146432561</c:v>
                </c:pt>
                <c:pt idx="50">
                  <c:v>14.34651756082034</c:v>
                </c:pt>
                <c:pt idx="51">
                  <c:v>18.047012107392622</c:v>
                </c:pt>
                <c:pt idx="52">
                  <c:v>15.771396072920055</c:v>
                </c:pt>
                <c:pt idx="53" formatCode="&quot;$&quot;#,##0_);[Red]\(&quot;$&quot;#,##0\)">
                  <c:v>19.621851618536834</c:v>
                </c:pt>
                <c:pt idx="54">
                  <c:v>19.872844221044506</c:v>
                </c:pt>
                <c:pt idx="55" formatCode="&quot;$&quot;#,##0_);[Red]\(&quot;$&quot;#,##0\)">
                  <c:v>20.503242507672489</c:v>
                </c:pt>
                <c:pt idx="56">
                  <c:v>17.536835759585045</c:v>
                </c:pt>
                <c:pt idx="57">
                  <c:v>16.803511017934792</c:v>
                </c:pt>
                <c:pt idx="58">
                  <c:v>20.805631189191512</c:v>
                </c:pt>
                <c:pt idx="59">
                  <c:v>14.80749078215816</c:v>
                </c:pt>
              </c:numCache>
            </c:numRef>
          </c:xVal>
          <c:yVal>
            <c:numRef>
              <c:f>MyDataSets!$E$2:$E$61</c:f>
              <c:numCache>
                <c:formatCode>_("$"* #,##0.00_);_("$"* \(#,##0.00\);_("$"* "-"??_);_(@_)</c:formatCode>
                <c:ptCount val="60"/>
                <c:pt idx="0">
                  <c:v>8.8836125044054022</c:v>
                </c:pt>
                <c:pt idx="1">
                  <c:v>4.868072767075649</c:v>
                </c:pt>
                <c:pt idx="2">
                  <c:v>-5.4014585250925179E-4</c:v>
                </c:pt>
                <c:pt idx="3">
                  <c:v>-1.6452360891527187</c:v>
                </c:pt>
                <c:pt idx="4">
                  <c:v>2.6239436918052106</c:v>
                </c:pt>
                <c:pt idx="5">
                  <c:v>-0.29949962547976289</c:v>
                </c:pt>
                <c:pt idx="6">
                  <c:v>2.1975835434872013E-3</c:v>
                </c:pt>
                <c:pt idx="7">
                  <c:v>-6.2083030172875979</c:v>
                </c:pt>
                <c:pt idx="8">
                  <c:v>-3.4123914015760479</c:v>
                </c:pt>
                <c:pt idx="9">
                  <c:v>-6.6280370841887439</c:v>
                </c:pt>
                <c:pt idx="10">
                  <c:v>6.1913804123028875</c:v>
                </c:pt>
                <c:pt idx="11">
                  <c:v>8.8833864917324785</c:v>
                </c:pt>
                <c:pt idx="12">
                  <c:v>0.58778666490211906</c:v>
                </c:pt>
                <c:pt idx="13">
                  <c:v>-9.4725270896896141E-2</c:v>
                </c:pt>
                <c:pt idx="14">
                  <c:v>-0.20509000178272344</c:v>
                </c:pt>
                <c:pt idx="15">
                  <c:v>-2.3254136939340673</c:v>
                </c:pt>
                <c:pt idx="16">
                  <c:v>-3.0972707691114474</c:v>
                </c:pt>
                <c:pt idx="17">
                  <c:v>1.8547342683894434</c:v>
                </c:pt>
                <c:pt idx="18">
                  <c:v>6.0766096002649013</c:v>
                </c:pt>
                <c:pt idx="19">
                  <c:v>-4.5790951147999701</c:v>
                </c:pt>
                <c:pt idx="20">
                  <c:v>-27.294548879307335</c:v>
                </c:pt>
                <c:pt idx="21">
                  <c:v>-2.42952113994733</c:v>
                </c:pt>
                <c:pt idx="22">
                  <c:v>3.7290612437467683</c:v>
                </c:pt>
                <c:pt idx="23">
                  <c:v>1.0885619528146082</c:v>
                </c:pt>
                <c:pt idx="24">
                  <c:v>-1.2592459376010892</c:v>
                </c:pt>
                <c:pt idx="25">
                  <c:v>5.3319455475280204</c:v>
                </c:pt>
                <c:pt idx="26">
                  <c:v>0.95551144502743635</c:v>
                </c:pt>
                <c:pt idx="27">
                  <c:v>1.5390154481375546</c:v>
                </c:pt>
                <c:pt idx="28">
                  <c:v>4.8697627352148398</c:v>
                </c:pt>
                <c:pt idx="29">
                  <c:v>1.324418957401803</c:v>
                </c:pt>
                <c:pt idx="30">
                  <c:v>-2.5308165658572022</c:v>
                </c:pt>
                <c:pt idx="31">
                  <c:v>0.3148107398400336</c:v>
                </c:pt>
                <c:pt idx="32">
                  <c:v>1.9600947840472698</c:v>
                </c:pt>
                <c:pt idx="33">
                  <c:v>3.9345669698630408</c:v>
                </c:pt>
                <c:pt idx="34">
                  <c:v>3.8117605834897517</c:v>
                </c:pt>
                <c:pt idx="35">
                  <c:v>-1.2519054362812392</c:v>
                </c:pt>
                <c:pt idx="36">
                  <c:v>0.16551443847757333</c:v>
                </c:pt>
                <c:pt idx="37">
                  <c:v>-1.1421285344258341</c:v>
                </c:pt>
                <c:pt idx="38">
                  <c:v>-2.4091797031666857</c:v>
                </c:pt>
                <c:pt idx="39">
                  <c:v>-1.6739324004297996E-2</c:v>
                </c:pt>
                <c:pt idx="40">
                  <c:v>8.5820685308241664</c:v>
                </c:pt>
                <c:pt idx="41">
                  <c:v>0.96317431777300555</c:v>
                </c:pt>
                <c:pt idx="42">
                  <c:v>-1.040734966637924</c:v>
                </c:pt>
                <c:pt idx="43">
                  <c:v>-2.3643966689619331</c:v>
                </c:pt>
                <c:pt idx="44">
                  <c:v>3.9672684796541247</c:v>
                </c:pt>
                <c:pt idx="45">
                  <c:v>-1.7615406906440585</c:v>
                </c:pt>
                <c:pt idx="46">
                  <c:v>-1.6980123285149562</c:v>
                </c:pt>
                <c:pt idx="47">
                  <c:v>-1.8304524816398671</c:v>
                </c:pt>
                <c:pt idx="48">
                  <c:v>-4.3138402749968305</c:v>
                </c:pt>
                <c:pt idx="49">
                  <c:v>1.5107219394949427</c:v>
                </c:pt>
                <c:pt idx="50">
                  <c:v>-4.1972141827366567</c:v>
                </c:pt>
                <c:pt idx="51">
                  <c:v>-1.1851674061235891</c:v>
                </c:pt>
                <c:pt idx="52">
                  <c:v>0.131028262406404</c:v>
                </c:pt>
                <c:pt idx="53">
                  <c:v>-5.1291789939843353</c:v>
                </c:pt>
                <c:pt idx="54">
                  <c:v>-3.3868803610673623</c:v>
                </c:pt>
                <c:pt idx="55">
                  <c:v>1.4678743481123135</c:v>
                </c:pt>
                <c:pt idx="56">
                  <c:v>-5.4143371576341943</c:v>
                </c:pt>
                <c:pt idx="57">
                  <c:v>-2.4361622009492123</c:v>
                </c:pt>
                <c:pt idx="58">
                  <c:v>4.7390015336216118</c:v>
                </c:pt>
                <c:pt idx="59">
                  <c:v>-3.4334781440783844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A59-4E50-8D33-E6B59C653839}"/>
            </c:ext>
          </c:extLst>
        </c:ser>
        <c:ser>
          <c:idx val="1"/>
          <c:order val="1"/>
          <c:tx>
            <c:v>Predicted Log(Cryptocurrencies Price)</c:v>
          </c:tx>
          <c:spPr>
            <a:ln w="38100">
              <a:noFill/>
            </a:ln>
          </c:spPr>
          <c:xVal>
            <c:numRef>
              <c:f>MyDataSets!$I$2:$I$61</c:f>
              <c:numCache>
                <c:formatCode>"$"#,##0</c:formatCode>
                <c:ptCount val="60"/>
                <c:pt idx="0">
                  <c:v>25.59382725179626</c:v>
                </c:pt>
                <c:pt idx="1">
                  <c:v>23.36925988267679</c:v>
                </c:pt>
                <c:pt idx="2">
                  <c:v>22.178606130312172</c:v>
                </c:pt>
                <c:pt idx="3">
                  <c:v>22.846662146563531</c:v>
                </c:pt>
                <c:pt idx="4">
                  <c:v>21.467078001673375</c:v>
                </c:pt>
                <c:pt idx="5">
                  <c:v>24.691804919073501</c:v>
                </c:pt>
                <c:pt idx="6">
                  <c:v>20.073231177007784</c:v>
                </c:pt>
                <c:pt idx="7">
                  <c:v>12.235631447771718</c:v>
                </c:pt>
                <c:pt idx="8">
                  <c:v>20.74372581774627</c:v>
                </c:pt>
                <c:pt idx="9">
                  <c:v>20.592153594673796</c:v>
                </c:pt>
                <c:pt idx="10">
                  <c:v>16.327840641100721</c:v>
                </c:pt>
                <c:pt idx="11">
                  <c:v>21.906883926279797</c:v>
                </c:pt>
                <c:pt idx="12">
                  <c:v>20.281392874525622</c:v>
                </c:pt>
                <c:pt idx="13">
                  <c:v>18.131053781427411</c:v>
                </c:pt>
                <c:pt idx="14">
                  <c:v>20.510930189258762</c:v>
                </c:pt>
                <c:pt idx="15">
                  <c:v>17.785696050759569</c:v>
                </c:pt>
                <c:pt idx="16">
                  <c:v>20.617143438907675</c:v>
                </c:pt>
                <c:pt idx="17">
                  <c:v>19.273050321412224</c:v>
                </c:pt>
                <c:pt idx="18">
                  <c:v>19.59256196383015</c:v>
                </c:pt>
                <c:pt idx="19">
                  <c:v>16.803853547882245</c:v>
                </c:pt>
                <c:pt idx="20">
                  <c:v>23.638161166642291</c:v>
                </c:pt>
                <c:pt idx="21">
                  <c:v>18.28329714108429</c:v>
                </c:pt>
                <c:pt idx="22">
                  <c:v>21.690642719195278</c:v>
                </c:pt>
                <c:pt idx="23">
                  <c:v>22.896947605667023</c:v>
                </c:pt>
                <c:pt idx="24">
                  <c:v>16.146850635078991</c:v>
                </c:pt>
                <c:pt idx="25">
                  <c:v>22.037441480494611</c:v>
                </c:pt>
                <c:pt idx="26">
                  <c:v>21.629843695616099</c:v>
                </c:pt>
                <c:pt idx="27">
                  <c:v>19.35330060692521</c:v>
                </c:pt>
                <c:pt idx="28">
                  <c:v>23.004673766668382</c:v>
                </c:pt>
                <c:pt idx="29">
                  <c:v>17.404056921049847</c:v>
                </c:pt>
                <c:pt idx="30">
                  <c:v>18.077429441297962</c:v>
                </c:pt>
                <c:pt idx="31">
                  <c:v>20.660502741474215</c:v>
                </c:pt>
                <c:pt idx="32">
                  <c:v>20.818241084303491</c:v>
                </c:pt>
                <c:pt idx="33">
                  <c:v>19.754884234810874</c:v>
                </c:pt>
                <c:pt idx="34">
                  <c:v>20.469865776674922</c:v>
                </c:pt>
                <c:pt idx="35">
                  <c:v>17.165566177616917</c:v>
                </c:pt>
                <c:pt idx="36">
                  <c:v>19.627876590692438</c:v>
                </c:pt>
                <c:pt idx="37">
                  <c:v>19.141375496848362</c:v>
                </c:pt>
                <c:pt idx="38">
                  <c:v>15.272735545244597</c:v>
                </c:pt>
                <c:pt idx="39">
                  <c:v>17.547891812708478</c:v>
                </c:pt>
                <c:pt idx="40">
                  <c:v>20.344730633408787</c:v>
                </c:pt>
                <c:pt idx="41" formatCode="&quot;$&quot;#,##0_);[Red]\(&quot;$&quot;#,##0\)">
                  <c:v>20.434066636905005</c:v>
                </c:pt>
                <c:pt idx="42" formatCode="&quot;$&quot;#,##0_);[Red]\(&quot;$&quot;#,##0\)">
                  <c:v>18.071351610504639</c:v>
                </c:pt>
                <c:pt idx="43">
                  <c:v>17.610016094969936</c:v>
                </c:pt>
                <c:pt idx="44">
                  <c:v>20.784914260146369</c:v>
                </c:pt>
                <c:pt idx="45">
                  <c:v>17.201869424711109</c:v>
                </c:pt>
                <c:pt idx="46">
                  <c:v>19.362196149773972</c:v>
                </c:pt>
                <c:pt idx="47">
                  <c:v>20.044139564454774</c:v>
                </c:pt>
                <c:pt idx="48">
                  <c:v>12.560770636584685</c:v>
                </c:pt>
                <c:pt idx="49" formatCode="&quot;$&quot;#,##0_);[Red]\(&quot;$&quot;#,##0\)">
                  <c:v>20.075546146432561</c:v>
                </c:pt>
                <c:pt idx="50">
                  <c:v>14.34651756082034</c:v>
                </c:pt>
                <c:pt idx="51">
                  <c:v>18.047012107392622</c:v>
                </c:pt>
                <c:pt idx="52">
                  <c:v>15.771396072920055</c:v>
                </c:pt>
                <c:pt idx="53" formatCode="&quot;$&quot;#,##0_);[Red]\(&quot;$&quot;#,##0\)">
                  <c:v>19.621851618536834</c:v>
                </c:pt>
                <c:pt idx="54">
                  <c:v>19.872844221044506</c:v>
                </c:pt>
                <c:pt idx="55" formatCode="&quot;$&quot;#,##0_);[Red]\(&quot;$&quot;#,##0\)">
                  <c:v>20.503242507672489</c:v>
                </c:pt>
                <c:pt idx="56">
                  <c:v>17.536835759585045</c:v>
                </c:pt>
                <c:pt idx="57">
                  <c:v>16.803511017934792</c:v>
                </c:pt>
                <c:pt idx="58">
                  <c:v>20.805631189191512</c:v>
                </c:pt>
                <c:pt idx="59">
                  <c:v>14.80749078215816</c:v>
                </c:pt>
              </c:numCache>
            </c:numRef>
          </c:xVal>
          <c:yVal>
            <c:numRef>
              <c:f>EmpiricalRegression!$B$29:$B$88</c:f>
              <c:numCache>
                <c:formatCode>General</c:formatCode>
                <c:ptCount val="60"/>
                <c:pt idx="0">
                  <c:v>6.9349371885069901</c:v>
                </c:pt>
                <c:pt idx="1">
                  <c:v>3.5549533423254398</c:v>
                </c:pt>
                <c:pt idx="2">
                  <c:v>1.4470515818013354</c:v>
                </c:pt>
                <c:pt idx="3">
                  <c:v>2.9577422018588027</c:v>
                </c:pt>
                <c:pt idx="4">
                  <c:v>1.5277985334442916</c:v>
                </c:pt>
                <c:pt idx="5">
                  <c:v>2.0814782714127378</c:v>
                </c:pt>
                <c:pt idx="6">
                  <c:v>1.6714921401609644</c:v>
                </c:pt>
                <c:pt idx="7">
                  <c:v>-3.227258455287072</c:v>
                </c:pt>
                <c:pt idx="8">
                  <c:v>0.96275203974860601</c:v>
                </c:pt>
                <c:pt idx="9">
                  <c:v>2.6366626515073581</c:v>
                </c:pt>
                <c:pt idx="10">
                  <c:v>-3.8269815013209589</c:v>
                </c:pt>
                <c:pt idx="11">
                  <c:v>-3.0265573947116495</c:v>
                </c:pt>
                <c:pt idx="12">
                  <c:v>1.0491404975079424</c:v>
                </c:pt>
                <c:pt idx="13">
                  <c:v>-0.71347824533999571</c:v>
                </c:pt>
                <c:pt idx="14">
                  <c:v>-2.0490158997565824</c:v>
                </c:pt>
                <c:pt idx="15">
                  <c:v>-0.50724096049877032</c:v>
                </c:pt>
                <c:pt idx="16">
                  <c:v>1.2307179488925957</c:v>
                </c:pt>
                <c:pt idx="17">
                  <c:v>-5.1082387914974103E-2</c:v>
                </c:pt>
                <c:pt idx="18">
                  <c:v>-1.1872443289442698</c:v>
                </c:pt>
                <c:pt idx="19">
                  <c:v>-1.5041091961611763</c:v>
                </c:pt>
                <c:pt idx="20">
                  <c:v>-16.234578586538927</c:v>
                </c:pt>
                <c:pt idx="21">
                  <c:v>-1.581126102088062</c:v>
                </c:pt>
                <c:pt idx="22">
                  <c:v>3.0146907791791278</c:v>
                </c:pt>
                <c:pt idx="23">
                  <c:v>3.2237431914904753</c:v>
                </c:pt>
                <c:pt idx="24">
                  <c:v>-1.7605594301674901</c:v>
                </c:pt>
                <c:pt idx="25">
                  <c:v>2.9476822290861064</c:v>
                </c:pt>
                <c:pt idx="26">
                  <c:v>2.8934141319369044</c:v>
                </c:pt>
                <c:pt idx="27">
                  <c:v>-1.314932793771409</c:v>
                </c:pt>
                <c:pt idx="28">
                  <c:v>-3.1896236234516264</c:v>
                </c:pt>
                <c:pt idx="29">
                  <c:v>-1.9162858175192097</c:v>
                </c:pt>
                <c:pt idx="30">
                  <c:v>-0.75389876257120725</c:v>
                </c:pt>
                <c:pt idx="31">
                  <c:v>0.75527170285296086</c:v>
                </c:pt>
                <c:pt idx="32">
                  <c:v>2.4753391120330717</c:v>
                </c:pt>
                <c:pt idx="33">
                  <c:v>1.6485150260827297</c:v>
                </c:pt>
                <c:pt idx="34">
                  <c:v>1.0866603854283043</c:v>
                </c:pt>
                <c:pt idx="35">
                  <c:v>-0.32490950542320229</c:v>
                </c:pt>
                <c:pt idx="36">
                  <c:v>0.48557410868258644</c:v>
                </c:pt>
                <c:pt idx="37">
                  <c:v>-0.96386466858716546</c:v>
                </c:pt>
                <c:pt idx="38">
                  <c:v>-7.6549630222239298</c:v>
                </c:pt>
                <c:pt idx="39">
                  <c:v>-1.3890891471189339</c:v>
                </c:pt>
                <c:pt idx="40">
                  <c:v>1.9871614950013274</c:v>
                </c:pt>
                <c:pt idx="41">
                  <c:v>0.74019884657656709</c:v>
                </c:pt>
                <c:pt idx="42">
                  <c:v>-0.74808148791098306</c:v>
                </c:pt>
                <c:pt idx="43">
                  <c:v>-2.9275229576490323</c:v>
                </c:pt>
                <c:pt idx="44">
                  <c:v>1.6973622845292058</c:v>
                </c:pt>
                <c:pt idx="45">
                  <c:v>-0.98667464106955471</c:v>
                </c:pt>
                <c:pt idx="46">
                  <c:v>0.6255484628360809</c:v>
                </c:pt>
                <c:pt idx="47">
                  <c:v>-0.78454922095049695</c:v>
                </c:pt>
                <c:pt idx="48">
                  <c:v>-1.7494455139059324</c:v>
                </c:pt>
                <c:pt idx="49">
                  <c:v>2.4767740451777711</c:v>
                </c:pt>
                <c:pt idx="50">
                  <c:v>-2.2055797834534325</c:v>
                </c:pt>
                <c:pt idx="51">
                  <c:v>-2.3363927672603255</c:v>
                </c:pt>
                <c:pt idx="52">
                  <c:v>-4.0163650819953087</c:v>
                </c:pt>
                <c:pt idx="53">
                  <c:v>0.98843091915961956</c:v>
                </c:pt>
                <c:pt idx="54">
                  <c:v>-0.4277235626057343</c:v>
                </c:pt>
                <c:pt idx="55">
                  <c:v>1.1488687233844841</c:v>
                </c:pt>
                <c:pt idx="56">
                  <c:v>0.47539088644488808</c:v>
                </c:pt>
                <c:pt idx="57">
                  <c:v>-0.77586827282238235</c:v>
                </c:pt>
                <c:pt idx="58">
                  <c:v>1.6621252637838837</c:v>
                </c:pt>
                <c:pt idx="59">
                  <c:v>-0.91567222253970693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A59-4E50-8D33-E6B59C653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717248"/>
        <c:axId val="818724928"/>
      </c:scatterChart>
      <c:valAx>
        <c:axId val="818717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Log(Market Cap)</a:t>
                </a:r>
              </a:p>
            </c:rich>
          </c:tx>
          <c:overlay val="0"/>
        </c:title>
        <c:numFmt formatCode="&quot;$&quot;#,##0" sourceLinked="1"/>
        <c:majorTickMark val="out"/>
        <c:minorTickMark val="none"/>
        <c:tickLblPos val="nextTo"/>
        <c:crossAx val="818724928"/>
        <c:crosses val="autoZero"/>
        <c:crossBetween val="midCat"/>
      </c:valAx>
      <c:valAx>
        <c:axId val="8187249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Log(Cryptocurrencies Price)</a:t>
                </a:r>
              </a:p>
            </c:rich>
          </c:tx>
          <c:overlay val="0"/>
        </c:title>
        <c:numFmt formatCode="_(&quot;$&quot;* #,##0.00_);_(&quot;$&quot;* \(#,##0.00\);_(&quot;$&quot;* &quot;-&quot;??_);_(@_)" sourceLinked="1"/>
        <c:majorTickMark val="out"/>
        <c:minorTickMark val="none"/>
        <c:tickLblPos val="nextTo"/>
        <c:crossAx val="81871724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10-Year Constant Maturity Rate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Log(Cryptocurrencies Price)</c:v>
          </c:tx>
          <c:spPr>
            <a:ln w="38100">
              <a:noFill/>
            </a:ln>
          </c:spPr>
          <c:xVal>
            <c:numRef>
              <c:f>MyDataSets!$J$2:$J$61</c:f>
              <c:numCache>
                <c:formatCode>0.00</c:formatCode>
                <c:ptCount val="60"/>
                <c:pt idx="0">
                  <c:v>5.87</c:v>
                </c:pt>
                <c:pt idx="1">
                  <c:v>5.87</c:v>
                </c:pt>
                <c:pt idx="2">
                  <c:v>5.87</c:v>
                </c:pt>
                <c:pt idx="3">
                  <c:v>5.87</c:v>
                </c:pt>
                <c:pt idx="4">
                  <c:v>5.87</c:v>
                </c:pt>
                <c:pt idx="5">
                  <c:v>5.87</c:v>
                </c:pt>
                <c:pt idx="6">
                  <c:v>5.87</c:v>
                </c:pt>
                <c:pt idx="7">
                  <c:v>5.87</c:v>
                </c:pt>
                <c:pt idx="8">
                  <c:v>5.87</c:v>
                </c:pt>
                <c:pt idx="9">
                  <c:v>5.87</c:v>
                </c:pt>
                <c:pt idx="10">
                  <c:v>5.87</c:v>
                </c:pt>
                <c:pt idx="11">
                  <c:v>5.87</c:v>
                </c:pt>
                <c:pt idx="12">
                  <c:v>5.87</c:v>
                </c:pt>
                <c:pt idx="13">
                  <c:v>5.87</c:v>
                </c:pt>
                <c:pt idx="14">
                  <c:v>5.87</c:v>
                </c:pt>
                <c:pt idx="15">
                  <c:v>5.87</c:v>
                </c:pt>
                <c:pt idx="16">
                  <c:v>5.87</c:v>
                </c:pt>
                <c:pt idx="17">
                  <c:v>5.87</c:v>
                </c:pt>
                <c:pt idx="18">
                  <c:v>5.87</c:v>
                </c:pt>
                <c:pt idx="19">
                  <c:v>5.87</c:v>
                </c:pt>
                <c:pt idx="20">
                  <c:v>5.87</c:v>
                </c:pt>
                <c:pt idx="21">
                  <c:v>5.87</c:v>
                </c:pt>
                <c:pt idx="22">
                  <c:v>5.87</c:v>
                </c:pt>
                <c:pt idx="23">
                  <c:v>5.87</c:v>
                </c:pt>
                <c:pt idx="24">
                  <c:v>5.87</c:v>
                </c:pt>
                <c:pt idx="25">
                  <c:v>5.87</c:v>
                </c:pt>
                <c:pt idx="26">
                  <c:v>5.87</c:v>
                </c:pt>
                <c:pt idx="27">
                  <c:v>5.87</c:v>
                </c:pt>
                <c:pt idx="28">
                  <c:v>5.87</c:v>
                </c:pt>
                <c:pt idx="29">
                  <c:v>5.87</c:v>
                </c:pt>
                <c:pt idx="30">
                  <c:v>5.87</c:v>
                </c:pt>
                <c:pt idx="31">
                  <c:v>5.87</c:v>
                </c:pt>
                <c:pt idx="32">
                  <c:v>5.87</c:v>
                </c:pt>
                <c:pt idx="33">
                  <c:v>5.87</c:v>
                </c:pt>
                <c:pt idx="34">
                  <c:v>5.87</c:v>
                </c:pt>
                <c:pt idx="35">
                  <c:v>5.87</c:v>
                </c:pt>
                <c:pt idx="36">
                  <c:v>5.87</c:v>
                </c:pt>
                <c:pt idx="37">
                  <c:v>5.87</c:v>
                </c:pt>
                <c:pt idx="38">
                  <c:v>5.87</c:v>
                </c:pt>
                <c:pt idx="39">
                  <c:v>5.87</c:v>
                </c:pt>
                <c:pt idx="40">
                  <c:v>5.87</c:v>
                </c:pt>
                <c:pt idx="41">
                  <c:v>5.87</c:v>
                </c:pt>
                <c:pt idx="42">
                  <c:v>5.87</c:v>
                </c:pt>
                <c:pt idx="43">
                  <c:v>5.87</c:v>
                </c:pt>
                <c:pt idx="44">
                  <c:v>5.87</c:v>
                </c:pt>
                <c:pt idx="45">
                  <c:v>5.87</c:v>
                </c:pt>
                <c:pt idx="46">
                  <c:v>5.87</c:v>
                </c:pt>
                <c:pt idx="47">
                  <c:v>5.87</c:v>
                </c:pt>
                <c:pt idx="48">
                  <c:v>5.87</c:v>
                </c:pt>
                <c:pt idx="49">
                  <c:v>5.87</c:v>
                </c:pt>
                <c:pt idx="50">
                  <c:v>5.87</c:v>
                </c:pt>
                <c:pt idx="51">
                  <c:v>5.87</c:v>
                </c:pt>
                <c:pt idx="52">
                  <c:v>5.87</c:v>
                </c:pt>
                <c:pt idx="53">
                  <c:v>5.87</c:v>
                </c:pt>
                <c:pt idx="54">
                  <c:v>5.87</c:v>
                </c:pt>
                <c:pt idx="55">
                  <c:v>5.87</c:v>
                </c:pt>
                <c:pt idx="56">
                  <c:v>5.87</c:v>
                </c:pt>
                <c:pt idx="57">
                  <c:v>5.87</c:v>
                </c:pt>
                <c:pt idx="58">
                  <c:v>5.87</c:v>
                </c:pt>
                <c:pt idx="59">
                  <c:v>5.87</c:v>
                </c:pt>
              </c:numCache>
            </c:numRef>
          </c:xVal>
          <c:yVal>
            <c:numRef>
              <c:f>MyDataSets!$E$2:$E$61</c:f>
              <c:numCache>
                <c:formatCode>_("$"* #,##0.00_);_("$"* \(#,##0.00\);_("$"* "-"??_);_(@_)</c:formatCode>
                <c:ptCount val="60"/>
                <c:pt idx="0">
                  <c:v>8.8836125044054022</c:v>
                </c:pt>
                <c:pt idx="1">
                  <c:v>4.868072767075649</c:v>
                </c:pt>
                <c:pt idx="2">
                  <c:v>-5.4014585250925179E-4</c:v>
                </c:pt>
                <c:pt idx="3">
                  <c:v>-1.6452360891527187</c:v>
                </c:pt>
                <c:pt idx="4">
                  <c:v>2.6239436918052106</c:v>
                </c:pt>
                <c:pt idx="5">
                  <c:v>-0.29949962547976289</c:v>
                </c:pt>
                <c:pt idx="6">
                  <c:v>2.1975835434872013E-3</c:v>
                </c:pt>
                <c:pt idx="7">
                  <c:v>-6.2083030172875979</c:v>
                </c:pt>
                <c:pt idx="8">
                  <c:v>-3.4123914015760479</c:v>
                </c:pt>
                <c:pt idx="9">
                  <c:v>-6.6280370841887439</c:v>
                </c:pt>
                <c:pt idx="10">
                  <c:v>6.1913804123028875</c:v>
                </c:pt>
                <c:pt idx="11">
                  <c:v>8.8833864917324785</c:v>
                </c:pt>
                <c:pt idx="12">
                  <c:v>0.58778666490211906</c:v>
                </c:pt>
                <c:pt idx="13">
                  <c:v>-9.4725270896896141E-2</c:v>
                </c:pt>
                <c:pt idx="14">
                  <c:v>-0.20509000178272344</c:v>
                </c:pt>
                <c:pt idx="15">
                  <c:v>-2.3254136939340673</c:v>
                </c:pt>
                <c:pt idx="16">
                  <c:v>-3.0972707691114474</c:v>
                </c:pt>
                <c:pt idx="17">
                  <c:v>1.8547342683894434</c:v>
                </c:pt>
                <c:pt idx="18">
                  <c:v>6.0766096002649013</c:v>
                </c:pt>
                <c:pt idx="19">
                  <c:v>-4.5790951147999701</c:v>
                </c:pt>
                <c:pt idx="20">
                  <c:v>-27.294548879307335</c:v>
                </c:pt>
                <c:pt idx="21">
                  <c:v>-2.42952113994733</c:v>
                </c:pt>
                <c:pt idx="22">
                  <c:v>3.7290612437467683</c:v>
                </c:pt>
                <c:pt idx="23">
                  <c:v>1.0885619528146082</c:v>
                </c:pt>
                <c:pt idx="24">
                  <c:v>-1.2592459376010892</c:v>
                </c:pt>
                <c:pt idx="25">
                  <c:v>5.3319455475280204</c:v>
                </c:pt>
                <c:pt idx="26">
                  <c:v>0.95551144502743635</c:v>
                </c:pt>
                <c:pt idx="27">
                  <c:v>1.5390154481375546</c:v>
                </c:pt>
                <c:pt idx="28">
                  <c:v>4.8697627352148398</c:v>
                </c:pt>
                <c:pt idx="29">
                  <c:v>1.324418957401803</c:v>
                </c:pt>
                <c:pt idx="30">
                  <c:v>-2.5308165658572022</c:v>
                </c:pt>
                <c:pt idx="31">
                  <c:v>0.3148107398400336</c:v>
                </c:pt>
                <c:pt idx="32">
                  <c:v>1.9600947840472698</c:v>
                </c:pt>
                <c:pt idx="33">
                  <c:v>3.9345669698630408</c:v>
                </c:pt>
                <c:pt idx="34">
                  <c:v>3.8117605834897517</c:v>
                </c:pt>
                <c:pt idx="35">
                  <c:v>-1.2519054362812392</c:v>
                </c:pt>
                <c:pt idx="36">
                  <c:v>0.16551443847757333</c:v>
                </c:pt>
                <c:pt idx="37">
                  <c:v>-1.1421285344258341</c:v>
                </c:pt>
                <c:pt idx="38">
                  <c:v>-2.4091797031666857</c:v>
                </c:pt>
                <c:pt idx="39">
                  <c:v>-1.6739324004297996E-2</c:v>
                </c:pt>
                <c:pt idx="40">
                  <c:v>8.5820685308241664</c:v>
                </c:pt>
                <c:pt idx="41">
                  <c:v>0.96317431777300555</c:v>
                </c:pt>
                <c:pt idx="42">
                  <c:v>-1.040734966637924</c:v>
                </c:pt>
                <c:pt idx="43">
                  <c:v>-2.3643966689619331</c:v>
                </c:pt>
                <c:pt idx="44">
                  <c:v>3.9672684796541247</c:v>
                </c:pt>
                <c:pt idx="45">
                  <c:v>-1.7615406906440585</c:v>
                </c:pt>
                <c:pt idx="46">
                  <c:v>-1.6980123285149562</c:v>
                </c:pt>
                <c:pt idx="47">
                  <c:v>-1.8304524816398671</c:v>
                </c:pt>
                <c:pt idx="48">
                  <c:v>-4.3138402749968305</c:v>
                </c:pt>
                <c:pt idx="49">
                  <c:v>1.5107219394949427</c:v>
                </c:pt>
                <c:pt idx="50">
                  <c:v>-4.1972141827366567</c:v>
                </c:pt>
                <c:pt idx="51">
                  <c:v>-1.1851674061235891</c:v>
                </c:pt>
                <c:pt idx="52">
                  <c:v>0.131028262406404</c:v>
                </c:pt>
                <c:pt idx="53">
                  <c:v>-5.1291789939843353</c:v>
                </c:pt>
                <c:pt idx="54">
                  <c:v>-3.3868803610673623</c:v>
                </c:pt>
                <c:pt idx="55">
                  <c:v>1.4678743481123135</c:v>
                </c:pt>
                <c:pt idx="56">
                  <c:v>-5.4143371576341943</c:v>
                </c:pt>
                <c:pt idx="57">
                  <c:v>-2.4361622009492123</c:v>
                </c:pt>
                <c:pt idx="58">
                  <c:v>4.7390015336216118</c:v>
                </c:pt>
                <c:pt idx="59">
                  <c:v>-3.4334781440783844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E0D-4C33-826D-90B2E8B4BE9A}"/>
            </c:ext>
          </c:extLst>
        </c:ser>
        <c:ser>
          <c:idx val="1"/>
          <c:order val="1"/>
          <c:tx>
            <c:v>Predicted Log(Cryptocurrencies Price)</c:v>
          </c:tx>
          <c:spPr>
            <a:ln w="38100">
              <a:noFill/>
            </a:ln>
          </c:spPr>
          <c:xVal>
            <c:numRef>
              <c:f>MyDataSets!$J$2:$J$61</c:f>
              <c:numCache>
                <c:formatCode>0.00</c:formatCode>
                <c:ptCount val="60"/>
                <c:pt idx="0">
                  <c:v>5.87</c:v>
                </c:pt>
                <c:pt idx="1">
                  <c:v>5.87</c:v>
                </c:pt>
                <c:pt idx="2">
                  <c:v>5.87</c:v>
                </c:pt>
                <c:pt idx="3">
                  <c:v>5.87</c:v>
                </c:pt>
                <c:pt idx="4">
                  <c:v>5.87</c:v>
                </c:pt>
                <c:pt idx="5">
                  <c:v>5.87</c:v>
                </c:pt>
                <c:pt idx="6">
                  <c:v>5.87</c:v>
                </c:pt>
                <c:pt idx="7">
                  <c:v>5.87</c:v>
                </c:pt>
                <c:pt idx="8">
                  <c:v>5.87</c:v>
                </c:pt>
                <c:pt idx="9">
                  <c:v>5.87</c:v>
                </c:pt>
                <c:pt idx="10">
                  <c:v>5.87</c:v>
                </c:pt>
                <c:pt idx="11">
                  <c:v>5.87</c:v>
                </c:pt>
                <c:pt idx="12">
                  <c:v>5.87</c:v>
                </c:pt>
                <c:pt idx="13">
                  <c:v>5.87</c:v>
                </c:pt>
                <c:pt idx="14">
                  <c:v>5.87</c:v>
                </c:pt>
                <c:pt idx="15">
                  <c:v>5.87</c:v>
                </c:pt>
                <c:pt idx="16">
                  <c:v>5.87</c:v>
                </c:pt>
                <c:pt idx="17">
                  <c:v>5.87</c:v>
                </c:pt>
                <c:pt idx="18">
                  <c:v>5.87</c:v>
                </c:pt>
                <c:pt idx="19">
                  <c:v>5.87</c:v>
                </c:pt>
                <c:pt idx="20">
                  <c:v>5.87</c:v>
                </c:pt>
                <c:pt idx="21">
                  <c:v>5.87</c:v>
                </c:pt>
                <c:pt idx="22">
                  <c:v>5.87</c:v>
                </c:pt>
                <c:pt idx="23">
                  <c:v>5.87</c:v>
                </c:pt>
                <c:pt idx="24">
                  <c:v>5.87</c:v>
                </c:pt>
                <c:pt idx="25">
                  <c:v>5.87</c:v>
                </c:pt>
                <c:pt idx="26">
                  <c:v>5.87</c:v>
                </c:pt>
                <c:pt idx="27">
                  <c:v>5.87</c:v>
                </c:pt>
                <c:pt idx="28">
                  <c:v>5.87</c:v>
                </c:pt>
                <c:pt idx="29">
                  <c:v>5.87</c:v>
                </c:pt>
                <c:pt idx="30">
                  <c:v>5.87</c:v>
                </c:pt>
                <c:pt idx="31">
                  <c:v>5.87</c:v>
                </c:pt>
                <c:pt idx="32">
                  <c:v>5.87</c:v>
                </c:pt>
                <c:pt idx="33">
                  <c:v>5.87</c:v>
                </c:pt>
                <c:pt idx="34">
                  <c:v>5.87</c:v>
                </c:pt>
                <c:pt idx="35">
                  <c:v>5.87</c:v>
                </c:pt>
                <c:pt idx="36">
                  <c:v>5.87</c:v>
                </c:pt>
                <c:pt idx="37">
                  <c:v>5.87</c:v>
                </c:pt>
                <c:pt idx="38">
                  <c:v>5.87</c:v>
                </c:pt>
                <c:pt idx="39">
                  <c:v>5.87</c:v>
                </c:pt>
                <c:pt idx="40">
                  <c:v>5.87</c:v>
                </c:pt>
                <c:pt idx="41">
                  <c:v>5.87</c:v>
                </c:pt>
                <c:pt idx="42">
                  <c:v>5.87</c:v>
                </c:pt>
                <c:pt idx="43">
                  <c:v>5.87</c:v>
                </c:pt>
                <c:pt idx="44">
                  <c:v>5.87</c:v>
                </c:pt>
                <c:pt idx="45">
                  <c:v>5.87</c:v>
                </c:pt>
                <c:pt idx="46">
                  <c:v>5.87</c:v>
                </c:pt>
                <c:pt idx="47">
                  <c:v>5.87</c:v>
                </c:pt>
                <c:pt idx="48">
                  <c:v>5.87</c:v>
                </c:pt>
                <c:pt idx="49">
                  <c:v>5.87</c:v>
                </c:pt>
                <c:pt idx="50">
                  <c:v>5.87</c:v>
                </c:pt>
                <c:pt idx="51">
                  <c:v>5.87</c:v>
                </c:pt>
                <c:pt idx="52">
                  <c:v>5.87</c:v>
                </c:pt>
                <c:pt idx="53">
                  <c:v>5.87</c:v>
                </c:pt>
                <c:pt idx="54">
                  <c:v>5.87</c:v>
                </c:pt>
                <c:pt idx="55">
                  <c:v>5.87</c:v>
                </c:pt>
                <c:pt idx="56">
                  <c:v>5.87</c:v>
                </c:pt>
                <c:pt idx="57">
                  <c:v>5.87</c:v>
                </c:pt>
                <c:pt idx="58">
                  <c:v>5.87</c:v>
                </c:pt>
                <c:pt idx="59">
                  <c:v>5.87</c:v>
                </c:pt>
              </c:numCache>
            </c:numRef>
          </c:xVal>
          <c:yVal>
            <c:numRef>
              <c:f>EmpiricalRegression!$B$29:$B$88</c:f>
              <c:numCache>
                <c:formatCode>General</c:formatCode>
                <c:ptCount val="60"/>
                <c:pt idx="0">
                  <c:v>6.9349371885069901</c:v>
                </c:pt>
                <c:pt idx="1">
                  <c:v>3.5549533423254398</c:v>
                </c:pt>
                <c:pt idx="2">
                  <c:v>1.4470515818013354</c:v>
                </c:pt>
                <c:pt idx="3">
                  <c:v>2.9577422018588027</c:v>
                </c:pt>
                <c:pt idx="4">
                  <c:v>1.5277985334442916</c:v>
                </c:pt>
                <c:pt idx="5">
                  <c:v>2.0814782714127378</c:v>
                </c:pt>
                <c:pt idx="6">
                  <c:v>1.6714921401609644</c:v>
                </c:pt>
                <c:pt idx="7">
                  <c:v>-3.227258455287072</c:v>
                </c:pt>
                <c:pt idx="8">
                  <c:v>0.96275203974860601</c:v>
                </c:pt>
                <c:pt idx="9">
                  <c:v>2.6366626515073581</c:v>
                </c:pt>
                <c:pt idx="10">
                  <c:v>-3.8269815013209589</c:v>
                </c:pt>
                <c:pt idx="11">
                  <c:v>-3.0265573947116495</c:v>
                </c:pt>
                <c:pt idx="12">
                  <c:v>1.0491404975079424</c:v>
                </c:pt>
                <c:pt idx="13">
                  <c:v>-0.71347824533999571</c:v>
                </c:pt>
                <c:pt idx="14">
                  <c:v>-2.0490158997565824</c:v>
                </c:pt>
                <c:pt idx="15">
                  <c:v>-0.50724096049877032</c:v>
                </c:pt>
                <c:pt idx="16">
                  <c:v>1.2307179488925957</c:v>
                </c:pt>
                <c:pt idx="17">
                  <c:v>-5.1082387914974103E-2</c:v>
                </c:pt>
                <c:pt idx="18">
                  <c:v>-1.1872443289442698</c:v>
                </c:pt>
                <c:pt idx="19">
                  <c:v>-1.5041091961611763</c:v>
                </c:pt>
                <c:pt idx="20">
                  <c:v>-16.234578586538927</c:v>
                </c:pt>
                <c:pt idx="21">
                  <c:v>-1.581126102088062</c:v>
                </c:pt>
                <c:pt idx="22">
                  <c:v>3.0146907791791278</c:v>
                </c:pt>
                <c:pt idx="23">
                  <c:v>3.2237431914904753</c:v>
                </c:pt>
                <c:pt idx="24">
                  <c:v>-1.7605594301674901</c:v>
                </c:pt>
                <c:pt idx="25">
                  <c:v>2.9476822290861064</c:v>
                </c:pt>
                <c:pt idx="26">
                  <c:v>2.8934141319369044</c:v>
                </c:pt>
                <c:pt idx="27">
                  <c:v>-1.314932793771409</c:v>
                </c:pt>
                <c:pt idx="28">
                  <c:v>-3.1896236234516264</c:v>
                </c:pt>
                <c:pt idx="29">
                  <c:v>-1.9162858175192097</c:v>
                </c:pt>
                <c:pt idx="30">
                  <c:v>-0.75389876257120725</c:v>
                </c:pt>
                <c:pt idx="31">
                  <c:v>0.75527170285296086</c:v>
                </c:pt>
                <c:pt idx="32">
                  <c:v>2.4753391120330717</c:v>
                </c:pt>
                <c:pt idx="33">
                  <c:v>1.6485150260827297</c:v>
                </c:pt>
                <c:pt idx="34">
                  <c:v>1.0866603854283043</c:v>
                </c:pt>
                <c:pt idx="35">
                  <c:v>-0.32490950542320229</c:v>
                </c:pt>
                <c:pt idx="36">
                  <c:v>0.48557410868258644</c:v>
                </c:pt>
                <c:pt idx="37">
                  <c:v>-0.96386466858716546</c:v>
                </c:pt>
                <c:pt idx="38">
                  <c:v>-7.6549630222239298</c:v>
                </c:pt>
                <c:pt idx="39">
                  <c:v>-1.3890891471189339</c:v>
                </c:pt>
                <c:pt idx="40">
                  <c:v>1.9871614950013274</c:v>
                </c:pt>
                <c:pt idx="41">
                  <c:v>0.74019884657656709</c:v>
                </c:pt>
                <c:pt idx="42">
                  <c:v>-0.74808148791098306</c:v>
                </c:pt>
                <c:pt idx="43">
                  <c:v>-2.9275229576490323</c:v>
                </c:pt>
                <c:pt idx="44">
                  <c:v>1.6973622845292058</c:v>
                </c:pt>
                <c:pt idx="45">
                  <c:v>-0.98667464106955471</c:v>
                </c:pt>
                <c:pt idx="46">
                  <c:v>0.6255484628360809</c:v>
                </c:pt>
                <c:pt idx="47">
                  <c:v>-0.78454922095049695</c:v>
                </c:pt>
                <c:pt idx="48">
                  <c:v>-1.7494455139059324</c:v>
                </c:pt>
                <c:pt idx="49">
                  <c:v>2.4767740451777711</c:v>
                </c:pt>
                <c:pt idx="50">
                  <c:v>-2.2055797834534325</c:v>
                </c:pt>
                <c:pt idx="51">
                  <c:v>-2.3363927672603255</c:v>
                </c:pt>
                <c:pt idx="52">
                  <c:v>-4.0163650819953087</c:v>
                </c:pt>
                <c:pt idx="53">
                  <c:v>0.98843091915961956</c:v>
                </c:pt>
                <c:pt idx="54">
                  <c:v>-0.4277235626057343</c:v>
                </c:pt>
                <c:pt idx="55">
                  <c:v>1.1488687233844841</c:v>
                </c:pt>
                <c:pt idx="56">
                  <c:v>0.47539088644488808</c:v>
                </c:pt>
                <c:pt idx="57">
                  <c:v>-0.77586827282238235</c:v>
                </c:pt>
                <c:pt idx="58">
                  <c:v>1.6621252637838837</c:v>
                </c:pt>
                <c:pt idx="59">
                  <c:v>-0.91567222253970693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E0D-4C33-826D-90B2E8B4BE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8727328"/>
        <c:axId val="818726368"/>
      </c:scatterChart>
      <c:valAx>
        <c:axId val="818727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10-Year Constant Maturity Rate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818726368"/>
        <c:crosses val="autoZero"/>
        <c:crossBetween val="midCat"/>
      </c:valAx>
      <c:valAx>
        <c:axId val="8187263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Log(Cryptocurrencies Price)</a:t>
                </a:r>
              </a:p>
            </c:rich>
          </c:tx>
          <c:overlay val="0"/>
        </c:title>
        <c:numFmt formatCode="_(&quot;$&quot;* #,##0.00_);_(&quot;$&quot;* \(#,##0.00\);_(&quot;$&quot;* &quot;-&quot;??_);_(@_)" sourceLinked="1"/>
        <c:majorTickMark val="out"/>
        <c:minorTickMark val="none"/>
        <c:tickLblPos val="nextTo"/>
        <c:crossAx val="81872732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20889</xdr:colOff>
      <xdr:row>1</xdr:row>
      <xdr:rowOff>64001</xdr:rowOff>
    </xdr:from>
    <xdr:to>
      <xdr:col>12</xdr:col>
      <xdr:colOff>221414</xdr:colOff>
      <xdr:row>11</xdr:row>
      <xdr:rowOff>64001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4AAEF2-DADD-B052-0B50-F9CD0D34F9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338388</xdr:colOff>
      <xdr:row>1</xdr:row>
      <xdr:rowOff>13869</xdr:rowOff>
    </xdr:from>
    <xdr:to>
      <xdr:col>18</xdr:col>
      <xdr:colOff>338388</xdr:colOff>
      <xdr:row>10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505AC7-50C7-7665-DF41-41213661BC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488783</xdr:colOff>
      <xdr:row>0</xdr:row>
      <xdr:rowOff>147554</xdr:rowOff>
    </xdr:from>
    <xdr:to>
      <xdr:col>24</xdr:col>
      <xdr:colOff>488782</xdr:colOff>
      <xdr:row>10</xdr:row>
      <xdr:rowOff>147554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AA8AB90-79A6-7E9A-CC9C-21EEA1ADCF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288257</xdr:colOff>
      <xdr:row>12</xdr:row>
      <xdr:rowOff>164264</xdr:rowOff>
    </xdr:from>
    <xdr:to>
      <xdr:col>15</xdr:col>
      <xdr:colOff>288257</xdr:colOff>
      <xdr:row>22</xdr:row>
      <xdr:rowOff>180974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BE6A20D-6D31-850E-98F1-BCBEEAA0FC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455361</xdr:colOff>
      <xdr:row>25</xdr:row>
      <xdr:rowOff>80712</xdr:rowOff>
    </xdr:from>
    <xdr:to>
      <xdr:col>28</xdr:col>
      <xdr:colOff>455361</xdr:colOff>
      <xdr:row>35</xdr:row>
      <xdr:rowOff>114134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8551122-398C-9614-5B87-A1CCC3A405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538914</xdr:colOff>
      <xdr:row>13</xdr:row>
      <xdr:rowOff>30581</xdr:rowOff>
    </xdr:from>
    <xdr:to>
      <xdr:col>21</xdr:col>
      <xdr:colOff>538914</xdr:colOff>
      <xdr:row>23</xdr:row>
      <xdr:rowOff>13871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B0D1D9C-B9E4-4B9D-0A22-50D47E7B36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71019</xdr:colOff>
      <xdr:row>25</xdr:row>
      <xdr:rowOff>80711</xdr:rowOff>
    </xdr:from>
    <xdr:to>
      <xdr:col>22</xdr:col>
      <xdr:colOff>71019</xdr:colOff>
      <xdr:row>35</xdr:row>
      <xdr:rowOff>114133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5D3CE0F-7650-E1B8-E262-0797996888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431131</xdr:colOff>
      <xdr:row>25</xdr:row>
      <xdr:rowOff>131178</xdr:rowOff>
    </xdr:from>
    <xdr:to>
      <xdr:col>15</xdr:col>
      <xdr:colOff>431132</xdr:colOff>
      <xdr:row>35</xdr:row>
      <xdr:rowOff>140703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BB5F06A-928C-ED6A-A14F-AC4C7899C3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484438</xdr:colOff>
      <xdr:row>13</xdr:row>
      <xdr:rowOff>40273</xdr:rowOff>
    </xdr:from>
    <xdr:to>
      <xdr:col>28</xdr:col>
      <xdr:colOff>484438</xdr:colOff>
      <xdr:row>23</xdr:row>
      <xdr:rowOff>14038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DE961B3-6D55-5C3D-85EB-5B3C0023FF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25</xdr:col>
      <xdr:colOff>163429</xdr:colOff>
      <xdr:row>1</xdr:row>
      <xdr:rowOff>69181</xdr:rowOff>
    </xdr:from>
    <xdr:to>
      <xdr:col>31</xdr:col>
      <xdr:colOff>163429</xdr:colOff>
      <xdr:row>11</xdr:row>
      <xdr:rowOff>52471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7BEED60-76B2-CA3F-E3CE-83B637D066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0B068-AA05-47D0-8D95-686B6B10B949}">
  <dimension ref="A1:L61"/>
  <sheetViews>
    <sheetView tabSelected="1" topLeftCell="E1" zoomScale="75" workbookViewId="0">
      <selection activeCell="M4" sqref="M4"/>
    </sheetView>
  </sheetViews>
  <sheetFormatPr defaultRowHeight="15" x14ac:dyDescent="0.25"/>
  <cols>
    <col min="1" max="2" width="13.7109375" customWidth="1"/>
    <col min="3" max="5" width="40" customWidth="1"/>
    <col min="6" max="7" width="30.7109375" customWidth="1"/>
    <col min="8" max="8" width="18" bestFit="1" customWidth="1"/>
    <col min="9" max="9" width="28.140625" customWidth="1"/>
    <col min="10" max="10" width="23.42578125" customWidth="1"/>
    <col min="11" max="11" width="20.5703125" bestFit="1" customWidth="1"/>
    <col min="12" max="12" width="16.85546875" bestFit="1" customWidth="1"/>
    <col min="13" max="13" width="22" customWidth="1"/>
    <col min="14" max="14" width="16.28515625" bestFit="1" customWidth="1"/>
    <col min="15" max="15" width="33.85546875" bestFit="1" customWidth="1"/>
    <col min="16" max="16" width="13.85546875" bestFit="1" customWidth="1"/>
    <col min="17" max="17" width="10.28515625" bestFit="1" customWidth="1"/>
  </cols>
  <sheetData>
    <row r="1" spans="1:12" ht="31.5" x14ac:dyDescent="0.25">
      <c r="A1" s="1" t="s">
        <v>0</v>
      </c>
      <c r="B1" s="2" t="s">
        <v>40</v>
      </c>
      <c r="C1" s="1" t="s">
        <v>15</v>
      </c>
      <c r="D1" s="1" t="s">
        <v>39</v>
      </c>
      <c r="E1" s="1" t="s">
        <v>64</v>
      </c>
      <c r="F1" s="1" t="s">
        <v>66</v>
      </c>
      <c r="G1" s="1" t="s">
        <v>68</v>
      </c>
      <c r="H1" s="1" t="s">
        <v>65</v>
      </c>
      <c r="I1" s="1" t="s">
        <v>69</v>
      </c>
      <c r="J1" s="17" t="s">
        <v>70</v>
      </c>
      <c r="K1" s="1" t="s">
        <v>67</v>
      </c>
      <c r="L1" s="10"/>
    </row>
    <row r="2" spans="1:12" ht="15.75" x14ac:dyDescent="0.25">
      <c r="A2" s="1">
        <v>1</v>
      </c>
      <c r="B2" s="2">
        <v>2020</v>
      </c>
      <c r="C2" s="2" t="s">
        <v>1</v>
      </c>
      <c r="D2" s="3">
        <v>7212.8</v>
      </c>
      <c r="E2" s="3">
        <f t="shared" ref="E2:E33" si="0">LN(D2)</f>
        <v>8.8836125044054022</v>
      </c>
      <c r="F2" s="11">
        <v>21187883711</v>
      </c>
      <c r="G2" s="8" cm="1">
        <f t="array" ref="G2:G61">LN(F2:F61)</f>
        <v>23.776695332176779</v>
      </c>
      <c r="H2" s="11">
        <v>130394101536</v>
      </c>
      <c r="I2" s="11" cm="1">
        <f t="array" ref="I2:I61">LN(H2:H61)</f>
        <v>25.59382725179626</v>
      </c>
      <c r="J2" s="8">
        <v>5.87</v>
      </c>
      <c r="K2" s="1">
        <v>1</v>
      </c>
    </row>
    <row r="3" spans="1:12" ht="15.75" x14ac:dyDescent="0.25">
      <c r="A3" s="1">
        <v>2</v>
      </c>
      <c r="B3" s="2">
        <v>2020</v>
      </c>
      <c r="C3" s="2" t="s">
        <v>2</v>
      </c>
      <c r="D3" s="3">
        <v>130.07</v>
      </c>
      <c r="E3" s="3">
        <f t="shared" si="0"/>
        <v>4.868072767075649</v>
      </c>
      <c r="F3" s="11">
        <v>7103187151</v>
      </c>
      <c r="G3" s="8">
        <v>22.683809414777727</v>
      </c>
      <c r="H3" s="11">
        <v>14097451632</v>
      </c>
      <c r="I3" s="11">
        <v>23.36925988267679</v>
      </c>
      <c r="J3" s="8">
        <v>5.87</v>
      </c>
      <c r="K3" s="1">
        <v>1</v>
      </c>
    </row>
    <row r="4" spans="1:12" ht="15.75" x14ac:dyDescent="0.25">
      <c r="A4" s="1">
        <v>3</v>
      </c>
      <c r="B4" s="2">
        <v>2020</v>
      </c>
      <c r="C4" s="2" t="s">
        <v>3</v>
      </c>
      <c r="D4" s="7">
        <v>0.99946000000000002</v>
      </c>
      <c r="E4" s="3">
        <f t="shared" si="0"/>
        <v>-5.4014585250925179E-4</v>
      </c>
      <c r="F4" s="11">
        <v>23700467689</v>
      </c>
      <c r="G4" s="8">
        <v>23.888760618605868</v>
      </c>
      <c r="H4" s="11">
        <v>4285941695</v>
      </c>
      <c r="I4" s="11">
        <v>22.178606130312172</v>
      </c>
      <c r="J4" s="8">
        <v>5.87</v>
      </c>
      <c r="K4" s="1">
        <v>0</v>
      </c>
    </row>
    <row r="5" spans="1:12" ht="15.75" x14ac:dyDescent="0.25">
      <c r="A5" s="1">
        <v>4</v>
      </c>
      <c r="B5" s="2">
        <v>2020</v>
      </c>
      <c r="C5" s="2" t="s">
        <v>4</v>
      </c>
      <c r="D5" s="3">
        <v>0.192967</v>
      </c>
      <c r="E5" s="3">
        <f t="shared" si="0"/>
        <v>-1.6452360891527187</v>
      </c>
      <c r="F5" s="11">
        <v>1125486227</v>
      </c>
      <c r="G5" s="8">
        <v>20.841480981008289</v>
      </c>
      <c r="H5" s="11">
        <v>8359480714</v>
      </c>
      <c r="I5" s="11">
        <v>22.846662146563531</v>
      </c>
      <c r="J5" s="8">
        <v>5.87</v>
      </c>
      <c r="K5" s="1">
        <v>0</v>
      </c>
    </row>
    <row r="6" spans="1:12" ht="15.75" x14ac:dyDescent="0.25">
      <c r="A6" s="1">
        <v>5</v>
      </c>
      <c r="B6" s="2">
        <v>2020</v>
      </c>
      <c r="C6" s="2" t="s">
        <v>5</v>
      </c>
      <c r="D6" s="3">
        <v>13.79</v>
      </c>
      <c r="E6" s="3">
        <f t="shared" si="0"/>
        <v>2.6239436918052106</v>
      </c>
      <c r="F6" s="11">
        <v>168238325</v>
      </c>
      <c r="G6" s="8">
        <v>18.940892133293939</v>
      </c>
      <c r="H6" s="11">
        <v>2103940815</v>
      </c>
      <c r="I6" s="11">
        <v>21.467078001673375</v>
      </c>
      <c r="J6" s="8">
        <v>5.87</v>
      </c>
      <c r="K6" s="1">
        <v>0</v>
      </c>
    </row>
    <row r="7" spans="1:12" ht="15.75" x14ac:dyDescent="0.25">
      <c r="A7" s="1">
        <v>6</v>
      </c>
      <c r="B7" s="2">
        <v>2020</v>
      </c>
      <c r="C7" s="2" t="s">
        <v>6</v>
      </c>
      <c r="D7" s="3">
        <v>0.74118899999999999</v>
      </c>
      <c r="E7" s="3">
        <f t="shared" si="0"/>
        <v>-0.29949962547976289</v>
      </c>
      <c r="F7" s="11">
        <v>17111376</v>
      </c>
      <c r="G7" s="8">
        <v>16.655254063441344</v>
      </c>
      <c r="H7" s="11">
        <v>52907181306</v>
      </c>
      <c r="I7" s="11">
        <v>24.691804919073501</v>
      </c>
      <c r="J7" s="8">
        <v>5.87</v>
      </c>
      <c r="K7" s="1">
        <v>0</v>
      </c>
    </row>
    <row r="8" spans="1:12" ht="15.75" x14ac:dyDescent="0.25">
      <c r="A8" s="1">
        <v>7</v>
      </c>
      <c r="B8" s="2">
        <v>2020</v>
      </c>
      <c r="C8" s="2" t="s">
        <v>7</v>
      </c>
      <c r="D8" s="3">
        <v>1.0022</v>
      </c>
      <c r="E8" s="3">
        <f t="shared" si="0"/>
        <v>2.1975835434872013E-3</v>
      </c>
      <c r="F8" s="11">
        <v>235182744</v>
      </c>
      <c r="G8" s="8">
        <v>19.275873403950293</v>
      </c>
      <c r="H8" s="11">
        <v>522027683</v>
      </c>
      <c r="I8" s="11">
        <v>20.073231177007784</v>
      </c>
      <c r="J8" s="8">
        <v>5.87</v>
      </c>
      <c r="K8" s="1">
        <v>0</v>
      </c>
    </row>
    <row r="9" spans="1:12" ht="15.75" x14ac:dyDescent="0.25">
      <c r="A9" s="1">
        <v>8</v>
      </c>
      <c r="B9" s="2">
        <v>2020</v>
      </c>
      <c r="C9" s="2" t="s">
        <v>8</v>
      </c>
      <c r="D9" s="5">
        <f>0.00201265</f>
        <v>2.0126499999999999E-3</v>
      </c>
      <c r="E9" s="3">
        <f t="shared" si="0"/>
        <v>-6.2083030172875979</v>
      </c>
      <c r="F9" s="11">
        <v>206000</v>
      </c>
      <c r="G9" s="8">
        <v>12.235631447771718</v>
      </c>
      <c r="H9" s="11">
        <v>206000</v>
      </c>
      <c r="I9" s="11">
        <v>12.235631447771718</v>
      </c>
      <c r="J9" s="8">
        <v>5.87</v>
      </c>
      <c r="K9" s="1">
        <v>0</v>
      </c>
    </row>
    <row r="10" spans="1:12" ht="15.75" x14ac:dyDescent="0.25">
      <c r="A10" s="1">
        <v>9</v>
      </c>
      <c r="B10" s="2">
        <v>2020</v>
      </c>
      <c r="C10" s="2" t="s">
        <v>9</v>
      </c>
      <c r="D10" s="7">
        <f>0.03296228</f>
        <v>3.2962279999999997E-2</v>
      </c>
      <c r="E10" s="3">
        <f t="shared" si="0"/>
        <v>-3.4123914015760479</v>
      </c>
      <c r="F10" s="11">
        <v>78089757</v>
      </c>
      <c r="G10" s="8">
        <v>18.173369453839932</v>
      </c>
      <c r="H10" s="11">
        <v>1020670721</v>
      </c>
      <c r="I10" s="11">
        <v>20.74372581774627</v>
      </c>
      <c r="J10" s="8">
        <v>5.87</v>
      </c>
      <c r="K10" s="1">
        <v>0</v>
      </c>
    </row>
    <row r="11" spans="1:12" ht="15.75" x14ac:dyDescent="0.25">
      <c r="A11" s="1">
        <v>10</v>
      </c>
      <c r="B11" s="2">
        <v>2020</v>
      </c>
      <c r="C11" s="2" t="s">
        <v>10</v>
      </c>
      <c r="D11" s="5">
        <v>1.3227569999999999E-3</v>
      </c>
      <c r="E11" s="3">
        <f t="shared" si="0"/>
        <v>-6.6280370841887439</v>
      </c>
      <c r="F11" s="11">
        <v>1134528759</v>
      </c>
      <c r="G11" s="8">
        <v>20.849483211356045</v>
      </c>
      <c r="H11" s="11">
        <v>877119319</v>
      </c>
      <c r="I11" s="11">
        <v>20.592153594673796</v>
      </c>
      <c r="J11" s="8">
        <v>5.87</v>
      </c>
      <c r="K11" s="1">
        <v>1</v>
      </c>
    </row>
    <row r="12" spans="1:12" ht="15.75" x14ac:dyDescent="0.25">
      <c r="A12" s="1">
        <v>11</v>
      </c>
      <c r="B12" s="2">
        <v>2020</v>
      </c>
      <c r="C12" s="2" t="s">
        <v>11</v>
      </c>
      <c r="D12" s="3">
        <v>488.52</v>
      </c>
      <c r="E12" s="3">
        <f t="shared" si="0"/>
        <v>6.1913804123028875</v>
      </c>
      <c r="F12" s="11">
        <v>81814</v>
      </c>
      <c r="G12" s="8">
        <v>11.312203657090748</v>
      </c>
      <c r="H12" s="11">
        <v>12333635</v>
      </c>
      <c r="I12" s="11">
        <v>16.327840641100721</v>
      </c>
      <c r="J12" s="8">
        <v>5.87</v>
      </c>
      <c r="K12" s="1">
        <v>1</v>
      </c>
    </row>
    <row r="13" spans="1:12" ht="15.75" x14ac:dyDescent="0.25">
      <c r="A13" s="1">
        <v>12</v>
      </c>
      <c r="B13" s="2">
        <v>2020</v>
      </c>
      <c r="C13" s="2" t="s">
        <v>12</v>
      </c>
      <c r="D13" s="3">
        <v>7211.17</v>
      </c>
      <c r="E13" s="3">
        <f t="shared" si="0"/>
        <v>8.8833864917324785</v>
      </c>
      <c r="F13" s="11">
        <v>201197</v>
      </c>
      <c r="G13" s="8">
        <v>12.212039806559778</v>
      </c>
      <c r="H13" s="11">
        <v>3266170146</v>
      </c>
      <c r="I13" s="11">
        <v>21.906883926279797</v>
      </c>
      <c r="J13" s="8">
        <v>5.87</v>
      </c>
      <c r="K13" s="1">
        <v>0</v>
      </c>
    </row>
    <row r="14" spans="1:12" ht="15.75" x14ac:dyDescent="0.25">
      <c r="A14" s="1">
        <v>13</v>
      </c>
      <c r="B14" s="2">
        <v>2020</v>
      </c>
      <c r="C14" s="2" t="s">
        <v>13</v>
      </c>
      <c r="D14" s="3">
        <v>1.8</v>
      </c>
      <c r="E14" s="3">
        <f t="shared" si="0"/>
        <v>0.58778666490211906</v>
      </c>
      <c r="F14" s="11">
        <v>91335137</v>
      </c>
      <c r="G14" s="8">
        <v>18.330046123664424</v>
      </c>
      <c r="H14" s="11">
        <v>642831294</v>
      </c>
      <c r="I14" s="11">
        <v>20.281392874525622</v>
      </c>
      <c r="J14" s="8">
        <v>5.87</v>
      </c>
      <c r="K14" s="1">
        <v>0</v>
      </c>
    </row>
    <row r="15" spans="1:12" ht="15.75" x14ac:dyDescent="0.25">
      <c r="A15" s="1">
        <v>14</v>
      </c>
      <c r="B15" s="2">
        <v>2020</v>
      </c>
      <c r="C15" s="2" t="s">
        <v>41</v>
      </c>
      <c r="D15" s="6">
        <v>0.90962279999999995</v>
      </c>
      <c r="E15" s="3">
        <f t="shared" si="0"/>
        <v>-9.4725270896896141E-2</v>
      </c>
      <c r="F15" s="11">
        <v>7357262</v>
      </c>
      <c r="G15" s="8">
        <v>15.811198410622284</v>
      </c>
      <c r="H15" s="11">
        <v>74854275</v>
      </c>
      <c r="I15" s="11">
        <v>18.131053781427411</v>
      </c>
      <c r="J15" s="8">
        <v>5.87</v>
      </c>
      <c r="K15" s="1">
        <v>0</v>
      </c>
    </row>
    <row r="16" spans="1:12" ht="15.75" x14ac:dyDescent="0.25">
      <c r="A16" s="1">
        <v>15</v>
      </c>
      <c r="B16" s="2">
        <v>2020</v>
      </c>
      <c r="C16" s="2" t="s">
        <v>14</v>
      </c>
      <c r="D16" s="6">
        <v>0.81457400000000002</v>
      </c>
      <c r="E16" s="3">
        <f t="shared" si="0"/>
        <v>-0.20509000178272344</v>
      </c>
      <c r="F16" s="11">
        <v>980605</v>
      </c>
      <c r="G16" s="8">
        <v>13.7959250071053</v>
      </c>
      <c r="H16" s="11">
        <v>808693216</v>
      </c>
      <c r="I16" s="11">
        <v>20.510930189258762</v>
      </c>
      <c r="J16" s="8">
        <v>5.87</v>
      </c>
      <c r="K16" s="15">
        <v>1</v>
      </c>
    </row>
    <row r="17" spans="1:11" ht="15.75" x14ac:dyDescent="0.25">
      <c r="A17" s="1">
        <v>16</v>
      </c>
      <c r="B17" s="2">
        <v>2020</v>
      </c>
      <c r="C17" s="2" t="s">
        <v>42</v>
      </c>
      <c r="D17" s="6">
        <v>9.7742999999999997E-2</v>
      </c>
      <c r="E17" s="3">
        <f t="shared" si="0"/>
        <v>-2.3254136939340673</v>
      </c>
      <c r="F17" s="11">
        <v>9989636</v>
      </c>
      <c r="G17" s="8">
        <v>16.117058713524475</v>
      </c>
      <c r="H17" s="11">
        <v>52994360</v>
      </c>
      <c r="I17" s="11">
        <v>17.785696050759569</v>
      </c>
      <c r="J17" s="8">
        <v>5.87</v>
      </c>
      <c r="K17" s="1">
        <v>0</v>
      </c>
    </row>
    <row r="18" spans="1:11" ht="15.75" x14ac:dyDescent="0.25">
      <c r="A18" s="1">
        <v>17</v>
      </c>
      <c r="B18" s="2">
        <v>2020</v>
      </c>
      <c r="C18" s="2" t="s">
        <v>16</v>
      </c>
      <c r="D18" s="6">
        <v>4.5172320000000002E-2</v>
      </c>
      <c r="E18" s="3">
        <f t="shared" si="0"/>
        <v>-3.0972707691114474</v>
      </c>
      <c r="F18" s="11">
        <v>117290831</v>
      </c>
      <c r="G18" s="8">
        <v>18.580167143475574</v>
      </c>
      <c r="H18" s="11">
        <v>899314567</v>
      </c>
      <c r="I18" s="11">
        <v>20.617143438907675</v>
      </c>
      <c r="J18" s="8">
        <v>5.87</v>
      </c>
      <c r="K18" s="1">
        <v>1</v>
      </c>
    </row>
    <row r="19" spans="1:11" ht="15.75" x14ac:dyDescent="0.25">
      <c r="A19" s="1">
        <v>18</v>
      </c>
      <c r="B19" s="2">
        <v>2020</v>
      </c>
      <c r="C19" s="2" t="s">
        <v>17</v>
      </c>
      <c r="D19" s="3">
        <v>6.39</v>
      </c>
      <c r="E19" s="3">
        <f t="shared" si="0"/>
        <v>1.8547342683894434</v>
      </c>
      <c r="F19" s="11">
        <v>18856276</v>
      </c>
      <c r="G19" s="8">
        <v>16.752356360741722</v>
      </c>
      <c r="H19" s="11">
        <v>234519740</v>
      </c>
      <c r="I19" s="11">
        <v>19.273050321412224</v>
      </c>
      <c r="J19" s="8">
        <v>5.87</v>
      </c>
      <c r="K19" s="1">
        <v>0</v>
      </c>
    </row>
    <row r="20" spans="1:11" ht="15.75" x14ac:dyDescent="0.25">
      <c r="A20" s="1">
        <v>19</v>
      </c>
      <c r="B20" s="2">
        <v>2020</v>
      </c>
      <c r="C20" s="2" t="s">
        <v>43</v>
      </c>
      <c r="D20" s="3">
        <v>435.55</v>
      </c>
      <c r="E20" s="3">
        <f t="shared" si="0"/>
        <v>6.0766096002649013</v>
      </c>
      <c r="F20" s="11">
        <v>3573158</v>
      </c>
      <c r="G20" s="8">
        <v>15.088960356570809</v>
      </c>
      <c r="H20" s="11">
        <v>322805962</v>
      </c>
      <c r="I20" s="11">
        <v>19.59256196383015</v>
      </c>
      <c r="J20" s="8">
        <v>5.87</v>
      </c>
      <c r="K20" s="1">
        <v>1</v>
      </c>
    </row>
    <row r="21" spans="1:11" ht="15.75" x14ac:dyDescent="0.25">
      <c r="A21" s="1">
        <v>20</v>
      </c>
      <c r="B21" s="2">
        <v>2020</v>
      </c>
      <c r="C21" s="2" t="s">
        <v>18</v>
      </c>
      <c r="D21" s="6">
        <v>1.0264179999999999E-2</v>
      </c>
      <c r="E21" s="3">
        <f t="shared" si="0"/>
        <v>-4.5790951147999701</v>
      </c>
      <c r="F21" s="11">
        <v>2376819</v>
      </c>
      <c r="G21" s="8">
        <v>14.681273597040017</v>
      </c>
      <c r="H21" s="11">
        <v>19852759</v>
      </c>
      <c r="I21" s="11">
        <v>16.803853547882245</v>
      </c>
      <c r="J21" s="8">
        <v>5.87</v>
      </c>
      <c r="K21" s="1">
        <v>1</v>
      </c>
    </row>
    <row r="22" spans="1:11" ht="15.75" x14ac:dyDescent="0.25">
      <c r="A22" s="1">
        <v>21</v>
      </c>
      <c r="B22" s="2">
        <v>2020</v>
      </c>
      <c r="C22" s="2" t="s">
        <v>19</v>
      </c>
      <c r="D22" s="3">
        <v>1.4000000000000001E-12</v>
      </c>
      <c r="E22" s="3">
        <f t="shared" si="0"/>
        <v>-27.294548879307335</v>
      </c>
      <c r="F22" s="11">
        <v>3.7022999999999998E-4</v>
      </c>
      <c r="G22" s="8">
        <v>-7.9013861238310721</v>
      </c>
      <c r="H22" s="11">
        <v>18446881461</v>
      </c>
      <c r="I22" s="11">
        <v>23.638161166642291</v>
      </c>
      <c r="J22" s="8">
        <v>5.87</v>
      </c>
      <c r="K22" s="1">
        <v>1</v>
      </c>
    </row>
    <row r="23" spans="1:11" ht="15.75" x14ac:dyDescent="0.25">
      <c r="A23" s="1">
        <v>22</v>
      </c>
      <c r="B23" s="2">
        <v>2020</v>
      </c>
      <c r="C23" s="2" t="s">
        <v>44</v>
      </c>
      <c r="D23" s="5">
        <v>8.8079000000000005E-2</v>
      </c>
      <c r="E23" s="3">
        <f t="shared" si="0"/>
        <v>-2.42952113994733</v>
      </c>
      <c r="F23" s="11">
        <v>2077667</v>
      </c>
      <c r="G23" s="8">
        <v>14.546756187559252</v>
      </c>
      <c r="H23" s="11">
        <v>87163580</v>
      </c>
      <c r="I23" s="11">
        <v>18.28329714108429</v>
      </c>
      <c r="J23" s="8">
        <v>5.87</v>
      </c>
      <c r="K23" s="1">
        <v>1</v>
      </c>
    </row>
    <row r="24" spans="1:11" ht="15.75" x14ac:dyDescent="0.25">
      <c r="A24" s="1">
        <v>23</v>
      </c>
      <c r="B24" s="2">
        <v>2020</v>
      </c>
      <c r="C24" s="2" t="s">
        <v>20</v>
      </c>
      <c r="D24" s="3">
        <v>41.64</v>
      </c>
      <c r="E24" s="3">
        <f t="shared" si="0"/>
        <v>3.7290612437467683</v>
      </c>
      <c r="F24" s="11">
        <v>2220352351</v>
      </c>
      <c r="G24" s="8">
        <v>21.520931736903108</v>
      </c>
      <c r="H24" s="11">
        <v>2631033888</v>
      </c>
      <c r="I24" s="11">
        <v>21.690642719195278</v>
      </c>
      <c r="J24" s="8">
        <v>5.87</v>
      </c>
      <c r="K24" s="1">
        <v>0</v>
      </c>
    </row>
    <row r="25" spans="1:11" ht="15.75" x14ac:dyDescent="0.25">
      <c r="A25" s="1">
        <v>24</v>
      </c>
      <c r="B25" s="2">
        <v>2020</v>
      </c>
      <c r="C25" s="2" t="s">
        <v>21</v>
      </c>
      <c r="D25" s="3">
        <v>2.97</v>
      </c>
      <c r="E25" s="3">
        <f t="shared" si="0"/>
        <v>1.0885619528146082</v>
      </c>
      <c r="F25" s="11">
        <v>1926142319</v>
      </c>
      <c r="G25" s="8">
        <v>21.378785041154135</v>
      </c>
      <c r="H25" s="11">
        <v>8790589451</v>
      </c>
      <c r="I25" s="11">
        <v>22.896947605667023</v>
      </c>
      <c r="J25" s="8">
        <v>5.87</v>
      </c>
      <c r="K25" s="1">
        <v>0</v>
      </c>
    </row>
    <row r="26" spans="1:11" ht="15.75" x14ac:dyDescent="0.25">
      <c r="A26" s="1">
        <v>25</v>
      </c>
      <c r="B26" s="2">
        <v>2020</v>
      </c>
      <c r="C26" s="2" t="s">
        <v>22</v>
      </c>
      <c r="D26" s="5">
        <v>0.28386800000000001</v>
      </c>
      <c r="E26" s="3">
        <f t="shared" si="0"/>
        <v>-1.2592459376010892</v>
      </c>
      <c r="F26" s="11">
        <v>1651700</v>
      </c>
      <c r="G26" s="8">
        <v>14.317315618509182</v>
      </c>
      <c r="H26" s="11">
        <v>10291724</v>
      </c>
      <c r="I26" s="11">
        <v>16.146850635078991</v>
      </c>
      <c r="J26" s="8">
        <v>5.87</v>
      </c>
      <c r="K26" s="1">
        <v>0</v>
      </c>
    </row>
    <row r="27" spans="1:11" ht="15.75" x14ac:dyDescent="0.25">
      <c r="A27" s="1">
        <v>26</v>
      </c>
      <c r="B27" s="2">
        <v>2020</v>
      </c>
      <c r="C27" s="2" t="s">
        <v>23</v>
      </c>
      <c r="D27" s="3">
        <v>206.84</v>
      </c>
      <c r="E27" s="3">
        <f t="shared" si="0"/>
        <v>5.3319455475280204</v>
      </c>
      <c r="F27" s="11">
        <v>1661251711</v>
      </c>
      <c r="G27" s="8">
        <v>21.230837197938527</v>
      </c>
      <c r="H27" s="11">
        <v>3721681728</v>
      </c>
      <c r="I27" s="11">
        <v>22.037441480494611</v>
      </c>
      <c r="J27" s="8">
        <v>5.87</v>
      </c>
      <c r="K27" s="1">
        <v>0</v>
      </c>
    </row>
    <row r="28" spans="1:11" ht="15.75" x14ac:dyDescent="0.25">
      <c r="A28" s="1">
        <v>27</v>
      </c>
      <c r="B28" s="2">
        <v>2020</v>
      </c>
      <c r="C28" s="2" t="s">
        <v>45</v>
      </c>
      <c r="D28" s="3">
        <v>2.6</v>
      </c>
      <c r="E28" s="3">
        <f t="shared" si="0"/>
        <v>0.95551144502743635</v>
      </c>
      <c r="F28" s="11">
        <v>1661858587</v>
      </c>
      <c r="G28" s="8">
        <v>21.231202443718729</v>
      </c>
      <c r="H28" s="11">
        <v>2475835361</v>
      </c>
      <c r="I28" s="11">
        <v>21.629843695616099</v>
      </c>
      <c r="J28" s="8">
        <v>5.87</v>
      </c>
      <c r="K28" s="1">
        <v>0</v>
      </c>
    </row>
    <row r="29" spans="1:11" ht="15.75" x14ac:dyDescent="0.25">
      <c r="A29" s="1">
        <v>28</v>
      </c>
      <c r="B29" s="2">
        <v>2020</v>
      </c>
      <c r="C29" s="2" t="s">
        <v>24</v>
      </c>
      <c r="D29" s="3">
        <v>4.66</v>
      </c>
      <c r="E29" s="3">
        <f t="shared" si="0"/>
        <v>1.5390154481375546</v>
      </c>
      <c r="F29" s="11">
        <v>2988814</v>
      </c>
      <c r="G29" s="8">
        <v>14.910387211159865</v>
      </c>
      <c r="H29" s="11">
        <v>254115795</v>
      </c>
      <c r="I29" s="11">
        <v>19.35330060692521</v>
      </c>
      <c r="J29" s="8">
        <v>5.87</v>
      </c>
      <c r="K29" s="1">
        <v>1</v>
      </c>
    </row>
    <row r="30" spans="1:11" ht="15.75" x14ac:dyDescent="0.25">
      <c r="A30" s="1">
        <v>29</v>
      </c>
      <c r="B30" s="2">
        <v>2020</v>
      </c>
      <c r="C30" s="2" t="s">
        <v>25</v>
      </c>
      <c r="D30" s="3">
        <v>130.29</v>
      </c>
      <c r="E30" s="3">
        <f t="shared" si="0"/>
        <v>4.8697627352148398</v>
      </c>
      <c r="F30" s="11">
        <v>106295</v>
      </c>
      <c r="G30" s="8">
        <v>11.573973526535163</v>
      </c>
      <c r="H30" s="11">
        <v>9790454983</v>
      </c>
      <c r="I30" s="11">
        <v>23.004673766668382</v>
      </c>
      <c r="J30" s="8">
        <v>5.87</v>
      </c>
      <c r="K30" s="1">
        <v>1</v>
      </c>
    </row>
    <row r="31" spans="1:11" ht="15.75" x14ac:dyDescent="0.25">
      <c r="A31" s="1">
        <v>30</v>
      </c>
      <c r="B31" s="2">
        <v>2020</v>
      </c>
      <c r="C31" s="2" t="s">
        <v>46</v>
      </c>
      <c r="D31" s="3">
        <v>3.76</v>
      </c>
      <c r="E31" s="3">
        <f t="shared" si="0"/>
        <v>1.324418957401803</v>
      </c>
      <c r="F31" s="11">
        <v>1294548</v>
      </c>
      <c r="G31" s="8">
        <v>14.073672157439935</v>
      </c>
      <c r="H31" s="11">
        <v>36181443</v>
      </c>
      <c r="I31" s="11">
        <v>17.404056921049847</v>
      </c>
      <c r="J31" s="8">
        <v>5.87</v>
      </c>
      <c r="K31" s="1">
        <v>1</v>
      </c>
    </row>
    <row r="32" spans="1:11" ht="15.75" x14ac:dyDescent="0.25">
      <c r="A32" s="1">
        <v>31</v>
      </c>
      <c r="B32" s="2">
        <v>2020</v>
      </c>
      <c r="C32" s="2" t="s">
        <v>60</v>
      </c>
      <c r="D32" s="3">
        <v>7.9593999999999998E-2</v>
      </c>
      <c r="E32" s="3">
        <f t="shared" si="0"/>
        <v>-2.5308165658572022</v>
      </c>
      <c r="F32" s="11">
        <v>6943268</v>
      </c>
      <c r="G32" s="8">
        <v>15.753283115019254</v>
      </c>
      <c r="H32" s="11">
        <v>70945990</v>
      </c>
      <c r="I32" s="11">
        <v>18.077429441297962</v>
      </c>
      <c r="J32" s="8">
        <v>5.87</v>
      </c>
      <c r="K32" s="1">
        <v>1</v>
      </c>
    </row>
    <row r="33" spans="1:11" ht="15.75" x14ac:dyDescent="0.25">
      <c r="A33" s="1">
        <v>32</v>
      </c>
      <c r="B33" s="2">
        <v>2020</v>
      </c>
      <c r="C33" s="2" t="s">
        <v>47</v>
      </c>
      <c r="D33" s="3">
        <v>1.37</v>
      </c>
      <c r="E33" s="3">
        <f t="shared" si="0"/>
        <v>0.3148107398400336</v>
      </c>
      <c r="F33" s="11">
        <v>57847509</v>
      </c>
      <c r="G33" s="8">
        <v>17.873320951039876</v>
      </c>
      <c r="H33" s="11">
        <v>939165940</v>
      </c>
      <c r="I33" s="11">
        <v>20.660502741474215</v>
      </c>
      <c r="J33" s="8">
        <v>5.87</v>
      </c>
      <c r="K33" s="1">
        <v>1</v>
      </c>
    </row>
    <row r="34" spans="1:11" ht="15.75" x14ac:dyDescent="0.25">
      <c r="A34" s="1">
        <v>33</v>
      </c>
      <c r="B34" s="2">
        <v>2020</v>
      </c>
      <c r="C34" s="2" t="s">
        <v>26</v>
      </c>
      <c r="D34" s="3">
        <v>7.1</v>
      </c>
      <c r="E34" s="3">
        <f t="shared" ref="E34:E61" si="1">LN(D34)</f>
        <v>1.9600947840472698</v>
      </c>
      <c r="F34" s="11">
        <v>824702234</v>
      </c>
      <c r="G34" s="8">
        <v>20.530532950663744</v>
      </c>
      <c r="H34" s="11">
        <v>1099631636</v>
      </c>
      <c r="I34" s="11">
        <v>20.818241084303491</v>
      </c>
      <c r="J34" s="8">
        <v>5.87</v>
      </c>
      <c r="K34" s="1">
        <v>0</v>
      </c>
    </row>
    <row r="35" spans="1:11" ht="15.75" x14ac:dyDescent="0.25">
      <c r="A35" s="1">
        <v>34</v>
      </c>
      <c r="B35" s="2">
        <v>2020</v>
      </c>
      <c r="C35" s="2" t="s">
        <v>48</v>
      </c>
      <c r="D35" s="3">
        <v>51.14</v>
      </c>
      <c r="E35" s="3">
        <f t="shared" si="1"/>
        <v>3.9345669698630408</v>
      </c>
      <c r="F35" s="11">
        <v>230047533</v>
      </c>
      <c r="G35" s="8">
        <v>19.253796510752547</v>
      </c>
      <c r="H35" s="11">
        <v>379697042</v>
      </c>
      <c r="I35" s="11">
        <v>19.754884234810874</v>
      </c>
      <c r="J35" s="8">
        <v>5.87</v>
      </c>
      <c r="K35" s="1">
        <v>0</v>
      </c>
    </row>
    <row r="36" spans="1:11" ht="15.75" x14ac:dyDescent="0.25">
      <c r="A36" s="1">
        <v>35</v>
      </c>
      <c r="B36" s="2">
        <v>2020</v>
      </c>
      <c r="C36" s="2" t="s">
        <v>27</v>
      </c>
      <c r="D36" s="3">
        <v>45.23</v>
      </c>
      <c r="E36" s="3">
        <f t="shared" si="1"/>
        <v>3.8117605834897517</v>
      </c>
      <c r="F36" s="11">
        <v>95555114</v>
      </c>
      <c r="G36" s="8">
        <v>18.375213748934698</v>
      </c>
      <c r="H36" s="11">
        <v>776157310</v>
      </c>
      <c r="I36" s="11">
        <v>20.469865776674922</v>
      </c>
      <c r="J36" s="8">
        <v>5.87</v>
      </c>
      <c r="K36" s="1">
        <v>1</v>
      </c>
    </row>
    <row r="37" spans="1:11" ht="15.75" x14ac:dyDescent="0.25">
      <c r="A37" s="1">
        <v>36</v>
      </c>
      <c r="B37" s="2">
        <v>2020</v>
      </c>
      <c r="C37" s="2" t="s">
        <v>49</v>
      </c>
      <c r="D37" s="3">
        <v>0.28595939999999997</v>
      </c>
      <c r="E37" s="3">
        <f t="shared" si="1"/>
        <v>-1.2519054362812392</v>
      </c>
      <c r="F37" s="11">
        <v>13149632</v>
      </c>
      <c r="G37" s="8">
        <v>16.391904331405591</v>
      </c>
      <c r="H37" s="11">
        <v>28504319</v>
      </c>
      <c r="I37" s="11">
        <v>17.165566177616917</v>
      </c>
      <c r="J37" s="8">
        <v>5.87</v>
      </c>
      <c r="K37" s="1">
        <v>0</v>
      </c>
    </row>
    <row r="38" spans="1:11" ht="15.75" x14ac:dyDescent="0.25">
      <c r="A38" s="1">
        <v>37</v>
      </c>
      <c r="B38" s="2">
        <v>2020</v>
      </c>
      <c r="C38" s="2" t="s">
        <v>28</v>
      </c>
      <c r="D38" s="3">
        <v>1.18</v>
      </c>
      <c r="E38" s="3">
        <f t="shared" si="1"/>
        <v>0.16551443847757333</v>
      </c>
      <c r="F38" s="11">
        <v>40897350</v>
      </c>
      <c r="G38" s="8">
        <v>17.526575826737886</v>
      </c>
      <c r="H38" s="11">
        <v>334409414</v>
      </c>
      <c r="I38" s="11">
        <v>19.627876590692438</v>
      </c>
      <c r="J38" s="8">
        <v>5.87</v>
      </c>
      <c r="K38" s="1">
        <v>1</v>
      </c>
    </row>
    <row r="39" spans="1:11" ht="15.75" x14ac:dyDescent="0.25">
      <c r="A39" s="1">
        <v>38</v>
      </c>
      <c r="B39" s="2">
        <v>2020</v>
      </c>
      <c r="C39" s="2" t="s">
        <v>50</v>
      </c>
      <c r="D39" s="3">
        <v>0.31913900000000001</v>
      </c>
      <c r="E39" s="3">
        <f t="shared" si="1"/>
        <v>-1.1421285344258341</v>
      </c>
      <c r="F39" s="11">
        <v>5007520</v>
      </c>
      <c r="G39" s="8">
        <v>15.426451340523121</v>
      </c>
      <c r="H39" s="11">
        <v>205586103</v>
      </c>
      <c r="I39" s="11">
        <v>19.141375496848362</v>
      </c>
      <c r="J39" s="8">
        <v>5.87</v>
      </c>
      <c r="K39" s="1">
        <v>0</v>
      </c>
    </row>
    <row r="40" spans="1:11" ht="15.75" x14ac:dyDescent="0.25">
      <c r="A40" s="1">
        <v>39</v>
      </c>
      <c r="B40" s="2">
        <v>2020</v>
      </c>
      <c r="C40" s="2" t="s">
        <v>51</v>
      </c>
      <c r="D40" s="9">
        <v>8.9888999999999997E-2</v>
      </c>
      <c r="E40" s="3">
        <f t="shared" si="1"/>
        <v>-2.4091797031666857</v>
      </c>
      <c r="F40" s="11">
        <v>318.64999999999998</v>
      </c>
      <c r="G40" s="8">
        <v>5.7640933217603028</v>
      </c>
      <c r="H40" s="11">
        <v>4294027</v>
      </c>
      <c r="I40" s="11">
        <v>15.272735545244597</v>
      </c>
      <c r="J40" s="8">
        <v>5.87</v>
      </c>
      <c r="K40" s="1">
        <v>1</v>
      </c>
    </row>
    <row r="41" spans="1:11" ht="15.75" x14ac:dyDescent="0.25">
      <c r="A41" s="1">
        <v>40</v>
      </c>
      <c r="B41" s="2">
        <v>2020</v>
      </c>
      <c r="C41" s="2" t="s">
        <v>29</v>
      </c>
      <c r="D41" s="4">
        <v>0.98340000000000005</v>
      </c>
      <c r="E41" s="3">
        <f t="shared" si="1"/>
        <v>-1.6739324004297996E-2</v>
      </c>
      <c r="F41" s="11">
        <v>2779679</v>
      </c>
      <c r="G41" s="8">
        <v>14.837846011374021</v>
      </c>
      <c r="H41" s="11">
        <v>41778475</v>
      </c>
      <c r="I41" s="11">
        <v>17.547891812708478</v>
      </c>
      <c r="J41" s="8">
        <v>5.87</v>
      </c>
      <c r="K41" s="1">
        <v>0</v>
      </c>
    </row>
    <row r="42" spans="1:11" ht="15.75" x14ac:dyDescent="0.25">
      <c r="A42" s="1">
        <v>41</v>
      </c>
      <c r="B42" s="2">
        <v>2020</v>
      </c>
      <c r="C42" s="2" t="s">
        <v>52</v>
      </c>
      <c r="D42" s="3">
        <v>5335.13</v>
      </c>
      <c r="E42" s="3">
        <f t="shared" si="1"/>
        <v>8.5820685308241664</v>
      </c>
      <c r="F42" s="11">
        <v>379083823</v>
      </c>
      <c r="G42" s="8">
        <v>19.753267907457907</v>
      </c>
      <c r="H42" s="11">
        <v>684863861</v>
      </c>
      <c r="I42" s="11">
        <v>20.344730633408787</v>
      </c>
      <c r="J42" s="8">
        <v>5.87</v>
      </c>
      <c r="K42" s="1">
        <v>0</v>
      </c>
    </row>
    <row r="43" spans="1:11" ht="15.75" x14ac:dyDescent="0.25">
      <c r="A43" s="1">
        <v>42</v>
      </c>
      <c r="B43" s="2">
        <v>2020</v>
      </c>
      <c r="C43" s="2" t="s">
        <v>30</v>
      </c>
      <c r="D43" s="3">
        <v>2.62</v>
      </c>
      <c r="E43" s="3">
        <f t="shared" si="1"/>
        <v>0.96317431777300555</v>
      </c>
      <c r="F43" s="11">
        <v>57394512</v>
      </c>
      <c r="G43" s="8">
        <v>17.865459246962793</v>
      </c>
      <c r="H43" s="12">
        <v>748863017</v>
      </c>
      <c r="I43" s="12">
        <v>20.434066636905005</v>
      </c>
      <c r="J43" s="8">
        <v>5.87</v>
      </c>
      <c r="K43" s="1">
        <v>0</v>
      </c>
    </row>
    <row r="44" spans="1:11" ht="15.75" x14ac:dyDescent="0.25">
      <c r="A44" s="1">
        <v>43</v>
      </c>
      <c r="B44" s="2">
        <v>2020</v>
      </c>
      <c r="C44" s="2" t="s">
        <v>31</v>
      </c>
      <c r="D44" s="3">
        <v>0.35319499999999998</v>
      </c>
      <c r="E44" s="3">
        <f t="shared" si="1"/>
        <v>-1.040734966637924</v>
      </c>
      <c r="F44" s="11">
        <v>7003007</v>
      </c>
      <c r="G44" s="8">
        <v>15.761850186208767</v>
      </c>
      <c r="H44" s="13">
        <v>70516100</v>
      </c>
      <c r="I44" s="13">
        <v>18.071351610504639</v>
      </c>
      <c r="J44" s="8">
        <v>5.87</v>
      </c>
      <c r="K44" s="1">
        <v>1</v>
      </c>
    </row>
    <row r="45" spans="1:11" ht="15.75" x14ac:dyDescent="0.25">
      <c r="A45" s="1">
        <v>44</v>
      </c>
      <c r="B45" s="2">
        <v>2020</v>
      </c>
      <c r="C45" s="2" t="s">
        <v>53</v>
      </c>
      <c r="D45" s="4">
        <v>9.4006000000000006E-2</v>
      </c>
      <c r="E45" s="3">
        <f t="shared" si="1"/>
        <v>-2.3643966689619331</v>
      </c>
      <c r="F45" s="11">
        <v>296890</v>
      </c>
      <c r="G45" s="8">
        <v>12.60111697881042</v>
      </c>
      <c r="H45" s="11">
        <v>44456249</v>
      </c>
      <c r="I45" s="11">
        <v>17.610016094969936</v>
      </c>
      <c r="J45" s="8">
        <v>5.87</v>
      </c>
      <c r="K45" s="1">
        <v>1</v>
      </c>
    </row>
    <row r="46" spans="1:11" ht="15.75" x14ac:dyDescent="0.25">
      <c r="A46" s="1">
        <v>45</v>
      </c>
      <c r="B46" s="2">
        <v>2020</v>
      </c>
      <c r="C46" s="2" t="s">
        <v>32</v>
      </c>
      <c r="D46" s="3">
        <v>52.84</v>
      </c>
      <c r="E46" s="3">
        <f t="shared" si="1"/>
        <v>3.9672684796541247</v>
      </c>
      <c r="F46" s="11">
        <v>234318366</v>
      </c>
      <c r="G46" s="8">
        <v>19.272191287089687</v>
      </c>
      <c r="H46" s="11">
        <v>1063588346</v>
      </c>
      <c r="I46" s="11">
        <v>20.784914260146369</v>
      </c>
      <c r="J46" s="8">
        <v>5.87</v>
      </c>
      <c r="K46" s="1">
        <v>1</v>
      </c>
    </row>
    <row r="47" spans="1:11" ht="15.75" x14ac:dyDescent="0.25">
      <c r="A47" s="1">
        <v>46</v>
      </c>
      <c r="B47" s="2">
        <v>2020</v>
      </c>
      <c r="C47" s="2" t="s">
        <v>54</v>
      </c>
      <c r="D47" s="3">
        <v>0.17177999999999999</v>
      </c>
      <c r="E47" s="3">
        <f t="shared" si="1"/>
        <v>-1.7615406906440585</v>
      </c>
      <c r="F47" s="11">
        <v>5015718</v>
      </c>
      <c r="G47" s="8">
        <v>15.428087139618791</v>
      </c>
      <c r="H47" s="11">
        <v>29558131</v>
      </c>
      <c r="I47" s="11">
        <v>17.201869424711109</v>
      </c>
      <c r="J47" s="8">
        <v>5.87</v>
      </c>
      <c r="K47" s="1">
        <v>1</v>
      </c>
    </row>
    <row r="48" spans="1:11" ht="15.75" x14ac:dyDescent="0.25">
      <c r="A48" s="1">
        <v>47</v>
      </c>
      <c r="B48" s="2">
        <v>2020</v>
      </c>
      <c r="C48" s="2" t="s">
        <v>55</v>
      </c>
      <c r="D48" s="3">
        <v>0.18304699999999999</v>
      </c>
      <c r="E48" s="3">
        <f t="shared" si="1"/>
        <v>-1.6980123285149562</v>
      </c>
      <c r="F48" s="11">
        <v>50630559</v>
      </c>
      <c r="G48" s="8">
        <v>17.740065884769994</v>
      </c>
      <c r="H48" s="11">
        <v>256386377</v>
      </c>
      <c r="I48" s="11">
        <v>19.362196149773972</v>
      </c>
      <c r="J48" s="8">
        <v>5.87</v>
      </c>
      <c r="K48" s="1">
        <v>1</v>
      </c>
    </row>
    <row r="49" spans="1:11" ht="15.75" x14ac:dyDescent="0.25">
      <c r="A49" s="1">
        <v>48</v>
      </c>
      <c r="B49" s="2">
        <v>2020</v>
      </c>
      <c r="C49" s="2" t="s">
        <v>33</v>
      </c>
      <c r="D49" s="3">
        <v>0.16034100000000001</v>
      </c>
      <c r="E49" s="3">
        <f t="shared" si="1"/>
        <v>-1.8304524816398671</v>
      </c>
      <c r="F49" s="11">
        <v>6312564</v>
      </c>
      <c r="G49" s="8">
        <v>15.658052491128219</v>
      </c>
      <c r="H49" s="11">
        <v>507059831</v>
      </c>
      <c r="I49" s="11">
        <v>20.044139564454774</v>
      </c>
      <c r="J49" s="8">
        <v>5.87</v>
      </c>
      <c r="K49" s="1">
        <v>1</v>
      </c>
    </row>
    <row r="50" spans="1:11" ht="15.75" x14ac:dyDescent="0.25">
      <c r="A50" s="1">
        <v>49</v>
      </c>
      <c r="B50" s="2">
        <v>2020</v>
      </c>
      <c r="C50" s="2" t="s">
        <v>56</v>
      </c>
      <c r="D50" s="4">
        <v>1.3382059999999999E-2</v>
      </c>
      <c r="E50" s="3">
        <f t="shared" si="1"/>
        <v>-4.3138402749968305</v>
      </c>
      <c r="F50" s="11">
        <v>1756890</v>
      </c>
      <c r="G50" s="8">
        <v>14.379055758493358</v>
      </c>
      <c r="H50" s="11">
        <v>285150</v>
      </c>
      <c r="I50" s="11">
        <v>12.560770636584685</v>
      </c>
      <c r="J50" s="8">
        <v>5.87</v>
      </c>
      <c r="K50" s="1">
        <v>1</v>
      </c>
    </row>
    <row r="51" spans="1:11" ht="15.75" x14ac:dyDescent="0.25">
      <c r="A51" s="1">
        <v>50</v>
      </c>
      <c r="B51" s="2">
        <v>2020</v>
      </c>
      <c r="C51" s="2" t="s">
        <v>34</v>
      </c>
      <c r="D51" s="3">
        <v>4.53</v>
      </c>
      <c r="E51" s="3">
        <f t="shared" si="1"/>
        <v>1.5107219394949427</v>
      </c>
      <c r="F51" s="11">
        <v>872337511</v>
      </c>
      <c r="G51" s="16">
        <v>20.586686960886297</v>
      </c>
      <c r="H51" s="13">
        <v>523237561</v>
      </c>
      <c r="I51" s="14">
        <v>20.075546146432561</v>
      </c>
      <c r="J51" s="8">
        <v>5.87</v>
      </c>
      <c r="K51" s="15">
        <v>1</v>
      </c>
    </row>
    <row r="52" spans="1:11" ht="15.75" x14ac:dyDescent="0.25">
      <c r="A52" s="1">
        <v>51</v>
      </c>
      <c r="B52" s="2">
        <v>2020</v>
      </c>
      <c r="C52" s="2" t="s">
        <v>57</v>
      </c>
      <c r="D52" s="9">
        <v>1.5037409999999999E-2</v>
      </c>
      <c r="E52" s="3">
        <f t="shared" si="1"/>
        <v>-4.1972141827366567</v>
      </c>
      <c r="F52" s="11">
        <v>885272</v>
      </c>
      <c r="G52" s="8">
        <v>13.693650221402148</v>
      </c>
      <c r="H52" s="11">
        <v>1700644</v>
      </c>
      <c r="I52" s="11">
        <v>14.34651756082034</v>
      </c>
      <c r="J52" s="8">
        <v>5.87</v>
      </c>
      <c r="K52" s="1">
        <v>1</v>
      </c>
    </row>
    <row r="53" spans="1:11" ht="15.75" x14ac:dyDescent="0.25">
      <c r="A53" s="1">
        <v>52</v>
      </c>
      <c r="B53" s="2">
        <v>2020</v>
      </c>
      <c r="C53" s="2" t="s">
        <v>58</v>
      </c>
      <c r="D53" s="4">
        <v>0.30569499999999999</v>
      </c>
      <c r="E53" s="3">
        <f t="shared" si="1"/>
        <v>-1.1851674061235891</v>
      </c>
      <c r="F53" s="11">
        <v>696032</v>
      </c>
      <c r="G53" s="8">
        <v>13.45315091527114</v>
      </c>
      <c r="H53" s="11">
        <v>68820492</v>
      </c>
      <c r="I53" s="11">
        <v>18.047012107392622</v>
      </c>
      <c r="J53" s="8">
        <v>5.87</v>
      </c>
      <c r="K53" s="1">
        <v>1</v>
      </c>
    </row>
    <row r="54" spans="1:11" ht="15.75" x14ac:dyDescent="0.25">
      <c r="A54" s="1">
        <v>53</v>
      </c>
      <c r="B54" s="2">
        <v>2020</v>
      </c>
      <c r="C54" s="2" t="s">
        <v>59</v>
      </c>
      <c r="D54" s="3">
        <v>1.1399999999999999</v>
      </c>
      <c r="E54" s="3">
        <f t="shared" si="1"/>
        <v>0.131028262406404</v>
      </c>
      <c r="F54" s="11">
        <v>62588</v>
      </c>
      <c r="G54" s="8">
        <v>11.044328845421948</v>
      </c>
      <c r="H54" s="11">
        <v>7070177</v>
      </c>
      <c r="I54" s="11">
        <v>15.771396072920055</v>
      </c>
      <c r="J54" s="8">
        <v>5.87</v>
      </c>
      <c r="K54" s="1">
        <v>1</v>
      </c>
    </row>
    <row r="55" spans="1:11" ht="15.75" x14ac:dyDescent="0.25">
      <c r="A55" s="1">
        <v>54</v>
      </c>
      <c r="B55" s="2">
        <v>2020</v>
      </c>
      <c r="C55" s="2" t="s">
        <v>35</v>
      </c>
      <c r="D55" s="4">
        <v>5.9214200000000002E-3</v>
      </c>
      <c r="E55" s="3">
        <f t="shared" si="1"/>
        <v>-5.1291789939843353</v>
      </c>
      <c r="F55" s="11">
        <v>85781446</v>
      </c>
      <c r="G55" s="16">
        <v>18.267313293987172</v>
      </c>
      <c r="H55" s="13">
        <v>332400664</v>
      </c>
      <c r="I55" s="14">
        <v>19.621851618536834</v>
      </c>
      <c r="J55" s="8">
        <v>5.87</v>
      </c>
      <c r="K55" s="1">
        <v>1</v>
      </c>
    </row>
    <row r="56" spans="1:11" ht="15.75" x14ac:dyDescent="0.25">
      <c r="A56" s="1">
        <v>55</v>
      </c>
      <c r="B56" s="2">
        <v>2020</v>
      </c>
      <c r="C56" s="2" t="s">
        <v>36</v>
      </c>
      <c r="D56" s="7">
        <v>3.3813999999999997E-2</v>
      </c>
      <c r="E56" s="3">
        <f t="shared" si="1"/>
        <v>-3.3868803610673623</v>
      </c>
      <c r="F56" s="11">
        <v>10684994</v>
      </c>
      <c r="G56" s="8">
        <v>16.184350885200367</v>
      </c>
      <c r="H56" s="11">
        <v>427234765</v>
      </c>
      <c r="I56" s="11">
        <v>19.872844221044506</v>
      </c>
      <c r="J56" s="8">
        <v>5.87</v>
      </c>
      <c r="K56" s="1">
        <v>0</v>
      </c>
    </row>
    <row r="57" spans="1:11" ht="15.75" x14ac:dyDescent="0.25">
      <c r="A57" s="1">
        <v>56</v>
      </c>
      <c r="B57" s="2">
        <v>2020</v>
      </c>
      <c r="C57" s="2" t="s">
        <v>37</v>
      </c>
      <c r="D57" s="3">
        <v>4.34</v>
      </c>
      <c r="E57" s="3">
        <f t="shared" si="1"/>
        <v>1.4678743481123135</v>
      </c>
      <c r="F57" s="11">
        <v>104595900</v>
      </c>
      <c r="G57" s="16">
        <v>18.465614911886149</v>
      </c>
      <c r="H57" s="13">
        <v>802500076</v>
      </c>
      <c r="I57" s="14">
        <v>20.503242507672489</v>
      </c>
      <c r="J57" s="8">
        <v>5.87</v>
      </c>
      <c r="K57" s="1">
        <v>1</v>
      </c>
    </row>
    <row r="58" spans="1:11" ht="15.75" x14ac:dyDescent="0.25">
      <c r="A58" s="1">
        <v>57</v>
      </c>
      <c r="B58" s="2">
        <v>2020</v>
      </c>
      <c r="C58" s="2" t="s">
        <v>61</v>
      </c>
      <c r="D58" s="7">
        <v>4.4522880000000004E-3</v>
      </c>
      <c r="E58" s="3">
        <f t="shared" si="1"/>
        <v>-5.4143371576341943</v>
      </c>
      <c r="F58" s="11">
        <v>42104839</v>
      </c>
      <c r="G58" s="8">
        <v>17.555673232665022</v>
      </c>
      <c r="H58" s="11">
        <v>41319114</v>
      </c>
      <c r="I58" s="11">
        <v>17.536835759585045</v>
      </c>
      <c r="J58" s="8">
        <v>5.87</v>
      </c>
      <c r="K58" s="1">
        <v>1</v>
      </c>
    </row>
    <row r="59" spans="1:11" ht="15.75" x14ac:dyDescent="0.25">
      <c r="A59" s="1">
        <v>58</v>
      </c>
      <c r="B59" s="2">
        <v>2020</v>
      </c>
      <c r="C59" s="2" t="s">
        <v>62</v>
      </c>
      <c r="D59" s="4">
        <v>8.7496000000000004E-2</v>
      </c>
      <c r="E59" s="3">
        <f t="shared" si="1"/>
        <v>-2.4361622009492123</v>
      </c>
      <c r="F59" s="11">
        <v>6854075</v>
      </c>
      <c r="G59" s="8">
        <v>15.740353923872142</v>
      </c>
      <c r="H59" s="11">
        <v>19845960</v>
      </c>
      <c r="I59" s="11">
        <v>16.803511017934792</v>
      </c>
      <c r="J59" s="8">
        <v>5.87</v>
      </c>
      <c r="K59" s="1">
        <v>1</v>
      </c>
    </row>
    <row r="60" spans="1:11" ht="15.75" x14ac:dyDescent="0.25">
      <c r="A60" s="1">
        <v>59</v>
      </c>
      <c r="B60" s="2">
        <v>2020</v>
      </c>
      <c r="C60" s="2" t="s">
        <v>38</v>
      </c>
      <c r="D60" s="3">
        <v>114.32</v>
      </c>
      <c r="E60" s="3">
        <f t="shared" si="1"/>
        <v>4.7390015336216118</v>
      </c>
      <c r="F60" s="11">
        <v>221650260</v>
      </c>
      <c r="G60" s="8">
        <v>19.216611292175177</v>
      </c>
      <c r="H60" s="11">
        <v>1085852456</v>
      </c>
      <c r="I60" s="11">
        <v>20.805631189191512</v>
      </c>
      <c r="J60" s="8">
        <v>5.87</v>
      </c>
      <c r="K60" s="1">
        <v>1</v>
      </c>
    </row>
    <row r="61" spans="1:11" ht="15.75" x14ac:dyDescent="0.25">
      <c r="A61" s="1">
        <v>60</v>
      </c>
      <c r="B61" s="2">
        <v>2020</v>
      </c>
      <c r="C61" s="2" t="s">
        <v>63</v>
      </c>
      <c r="D61" s="5">
        <v>3.2274490000000003E-2</v>
      </c>
      <c r="E61" s="3">
        <f t="shared" si="1"/>
        <v>-3.4334781440783844</v>
      </c>
      <c r="F61" s="11">
        <v>5740364</v>
      </c>
      <c r="G61" s="8">
        <v>15.563033180919273</v>
      </c>
      <c r="H61" s="11">
        <v>2696569</v>
      </c>
      <c r="I61" s="11">
        <v>14.80749078215816</v>
      </c>
      <c r="J61" s="8">
        <v>5.87</v>
      </c>
      <c r="K61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37B3C-EFD8-4DB1-9F49-A8759318DD83}">
  <dimension ref="A1:I88"/>
  <sheetViews>
    <sheetView zoomScale="57" workbookViewId="0">
      <selection activeCell="A10" sqref="A10:F14"/>
    </sheetView>
  </sheetViews>
  <sheetFormatPr defaultRowHeight="15" x14ac:dyDescent="0.25"/>
  <cols>
    <col min="1" max="1" width="28.28515625" bestFit="1" customWidth="1"/>
    <col min="2" max="2" width="20.28515625" customWidth="1"/>
    <col min="5" max="5" width="12" bestFit="1" customWidth="1"/>
    <col min="9" max="9" width="15.140625" bestFit="1" customWidth="1"/>
  </cols>
  <sheetData>
    <row r="1" spans="1:9" x14ac:dyDescent="0.25">
      <c r="A1" t="s">
        <v>71</v>
      </c>
    </row>
    <row r="2" spans="1:9" ht="15.75" thickBot="1" x14ac:dyDescent="0.3"/>
    <row r="3" spans="1:9" x14ac:dyDescent="0.25">
      <c r="A3" s="20" t="s">
        <v>72</v>
      </c>
      <c r="B3" s="20"/>
    </row>
    <row r="4" spans="1:9" x14ac:dyDescent="0.25">
      <c r="A4" t="s">
        <v>73</v>
      </c>
      <c r="B4">
        <v>0.61967090578144668</v>
      </c>
    </row>
    <row r="5" spans="1:9" x14ac:dyDescent="0.25">
      <c r="A5" t="s">
        <v>74</v>
      </c>
      <c r="B5">
        <v>0.38399203147199862</v>
      </c>
    </row>
    <row r="6" spans="1:9" x14ac:dyDescent="0.25">
      <c r="A6" t="s">
        <v>75</v>
      </c>
      <c r="B6">
        <v>0.32100963376087127</v>
      </c>
    </row>
    <row r="7" spans="1:9" x14ac:dyDescent="0.25">
      <c r="A7" t="s">
        <v>76</v>
      </c>
      <c r="B7">
        <v>4.1346008365639149</v>
      </c>
    </row>
    <row r="8" spans="1:9" ht="15.75" thickBot="1" x14ac:dyDescent="0.3">
      <c r="A8" s="18" t="s">
        <v>77</v>
      </c>
      <c r="B8" s="18">
        <v>60</v>
      </c>
    </row>
    <row r="10" spans="1:9" ht="15.75" thickBot="1" x14ac:dyDescent="0.3">
      <c r="A10" t="s">
        <v>78</v>
      </c>
    </row>
    <row r="11" spans="1:9" x14ac:dyDescent="0.25">
      <c r="A11" s="19"/>
      <c r="B11" s="19" t="s">
        <v>83</v>
      </c>
      <c r="C11" s="19" t="s">
        <v>84</v>
      </c>
      <c r="D11" s="19" t="s">
        <v>85</v>
      </c>
      <c r="E11" s="19" t="s">
        <v>86</v>
      </c>
      <c r="F11" s="19" t="s">
        <v>87</v>
      </c>
    </row>
    <row r="12" spans="1:9" x14ac:dyDescent="0.25">
      <c r="A12" t="s">
        <v>79</v>
      </c>
      <c r="B12">
        <v>5</v>
      </c>
      <c r="C12">
        <v>586.09193840154717</v>
      </c>
      <c r="D12">
        <v>117.21838768030943</v>
      </c>
      <c r="E12">
        <v>8.5711398269030301</v>
      </c>
      <c r="F12">
        <v>5.0104751283303362E-6</v>
      </c>
    </row>
    <row r="13" spans="1:9" x14ac:dyDescent="0.25">
      <c r="A13" t="s">
        <v>80</v>
      </c>
      <c r="B13">
        <v>55</v>
      </c>
      <c r="C13">
        <v>940.22082427432633</v>
      </c>
      <c r="D13">
        <v>17.094924077715024</v>
      </c>
    </row>
    <row r="14" spans="1:9" ht="15.75" thickBot="1" x14ac:dyDescent="0.3">
      <c r="A14" s="18" t="s">
        <v>81</v>
      </c>
      <c r="B14" s="18">
        <v>60</v>
      </c>
      <c r="C14" s="18">
        <v>1526.3127626758735</v>
      </c>
      <c r="D14" s="18"/>
      <c r="E14" s="18"/>
      <c r="F14" s="18"/>
    </row>
    <row r="15" spans="1:9" ht="15.75" thickBot="1" x14ac:dyDescent="0.3"/>
    <row r="16" spans="1:9" x14ac:dyDescent="0.25">
      <c r="A16" s="19"/>
      <c r="B16" s="19" t="s">
        <v>88</v>
      </c>
      <c r="C16" s="19" t="s">
        <v>76</v>
      </c>
      <c r="D16" s="19" t="s">
        <v>89</v>
      </c>
      <c r="E16" s="19" t="s">
        <v>90</v>
      </c>
      <c r="F16" s="19" t="s">
        <v>91</v>
      </c>
      <c r="G16" s="19" t="s">
        <v>92</v>
      </c>
      <c r="H16" s="19" t="s">
        <v>93</v>
      </c>
      <c r="I16" s="19" t="s">
        <v>94</v>
      </c>
    </row>
    <row r="17" spans="1:9" x14ac:dyDescent="0.25">
      <c r="A17" t="s">
        <v>82</v>
      </c>
      <c r="B17">
        <v>-11.754181797876301</v>
      </c>
      <c r="C17">
        <v>4.4330487430718284</v>
      </c>
      <c r="D17">
        <v>-2.6514894103626259</v>
      </c>
      <c r="E17">
        <v>1.0448664509332139E-2</v>
      </c>
      <c r="F17">
        <v>-20.6382100054959</v>
      </c>
      <c r="G17">
        <v>-2.8701535902567006</v>
      </c>
      <c r="H17">
        <v>-20.6382100054959</v>
      </c>
      <c r="I17">
        <v>-2.8701535902567006</v>
      </c>
    </row>
    <row r="18" spans="1:9" x14ac:dyDescent="0.25">
      <c r="A18" t="s">
        <v>66</v>
      </c>
      <c r="B18">
        <v>-1.5219489594332717E-10</v>
      </c>
      <c r="C18">
        <v>1.7776084386263375E-10</v>
      </c>
      <c r="D18">
        <v>-0.8561778434228019</v>
      </c>
      <c r="E18">
        <v>0.39561428808971699</v>
      </c>
      <c r="F18">
        <v>-5.084355877593147E-10</v>
      </c>
      <c r="G18">
        <v>2.0404579587266031E-10</v>
      </c>
      <c r="H18">
        <v>-5.084355877593147E-10</v>
      </c>
      <c r="I18">
        <v>2.0404579587266031E-10</v>
      </c>
    </row>
    <row r="19" spans="1:9" x14ac:dyDescent="0.25">
      <c r="A19" t="s">
        <v>68</v>
      </c>
      <c r="B19">
        <v>0.68826278317752554</v>
      </c>
      <c r="C19">
        <v>0.13060737302520126</v>
      </c>
      <c r="D19">
        <v>5.2697084952832052</v>
      </c>
      <c r="E19">
        <v>2.3519560340388611E-6</v>
      </c>
      <c r="F19">
        <v>0.42651975860727148</v>
      </c>
      <c r="G19">
        <v>0.95000580774777954</v>
      </c>
      <c r="H19">
        <v>0.42651975860727148</v>
      </c>
      <c r="I19">
        <v>0.95000580774777954</v>
      </c>
    </row>
    <row r="20" spans="1:9" x14ac:dyDescent="0.25">
      <c r="A20" t="s">
        <v>65</v>
      </c>
      <c r="B20">
        <v>4.0862809650527308E-11</v>
      </c>
      <c r="C20">
        <v>4.0664397691002725E-11</v>
      </c>
      <c r="D20">
        <v>1.0048792548467644</v>
      </c>
      <c r="E20">
        <v>0.31935565673753963</v>
      </c>
      <c r="F20">
        <v>-4.0630464407721869E-11</v>
      </c>
      <c r="G20">
        <v>1.2235608370877648E-10</v>
      </c>
      <c r="H20">
        <v>-4.0630464407721869E-11</v>
      </c>
      <c r="I20">
        <v>1.2235608370877648E-10</v>
      </c>
    </row>
    <row r="21" spans="1:9" x14ac:dyDescent="0.25">
      <c r="A21" t="s">
        <v>69</v>
      </c>
      <c r="B21">
        <v>8.6318816705141053E-3</v>
      </c>
      <c r="C21">
        <v>0.23598775167310149</v>
      </c>
      <c r="D21">
        <v>3.6577668159961496E-2</v>
      </c>
      <c r="E21">
        <v>0.97095418769746211</v>
      </c>
      <c r="F21">
        <v>-0.46429814099009925</v>
      </c>
      <c r="G21">
        <v>0.48156190433112744</v>
      </c>
      <c r="H21">
        <v>-0.46429814099009925</v>
      </c>
      <c r="I21">
        <v>0.48156190433112744</v>
      </c>
    </row>
    <row r="22" spans="1:9" ht="15.75" thickBot="1" x14ac:dyDescent="0.3">
      <c r="A22" s="18" t="s">
        <v>70</v>
      </c>
      <c r="B22" s="18">
        <v>0</v>
      </c>
      <c r="C22" s="18">
        <v>0</v>
      </c>
      <c r="D22" s="18">
        <v>65535</v>
      </c>
      <c r="E22" s="18" t="e">
        <v>#NUM!</v>
      </c>
      <c r="F22" s="18">
        <v>0</v>
      </c>
      <c r="G22" s="18">
        <v>0</v>
      </c>
      <c r="H22" s="18">
        <v>0</v>
      </c>
      <c r="I22" s="18">
        <v>0</v>
      </c>
    </row>
    <row r="26" spans="1:9" x14ac:dyDescent="0.25">
      <c r="A26" t="s">
        <v>95</v>
      </c>
    </row>
    <row r="27" spans="1:9" ht="15.75" thickBot="1" x14ac:dyDescent="0.3"/>
    <row r="28" spans="1:9" x14ac:dyDescent="0.25">
      <c r="A28" s="19" t="s">
        <v>96</v>
      </c>
      <c r="B28" s="19" t="s">
        <v>97</v>
      </c>
      <c r="C28" s="19" t="s">
        <v>98</v>
      </c>
      <c r="D28" s="19" t="s">
        <v>99</v>
      </c>
    </row>
    <row r="29" spans="1:9" x14ac:dyDescent="0.25">
      <c r="A29">
        <v>1</v>
      </c>
      <c r="B29">
        <v>6.9349371885069901</v>
      </c>
      <c r="C29">
        <v>1.948675315898412</v>
      </c>
      <c r="D29">
        <v>0.4922663801697037</v>
      </c>
    </row>
    <row r="30" spans="1:9" x14ac:dyDescent="0.25">
      <c r="A30">
        <v>2</v>
      </c>
      <c r="B30">
        <v>3.5549533423254398</v>
      </c>
      <c r="C30">
        <v>1.3131194247502092</v>
      </c>
      <c r="D30">
        <v>0.33171485299709486</v>
      </c>
    </row>
    <row r="31" spans="1:9" x14ac:dyDescent="0.25">
      <c r="A31">
        <v>3</v>
      </c>
      <c r="B31">
        <v>1.4470515818013354</v>
      </c>
      <c r="C31">
        <v>-1.4475917276538446</v>
      </c>
      <c r="D31">
        <v>-0.36568469560935046</v>
      </c>
    </row>
    <row r="32" spans="1:9" x14ac:dyDescent="0.25">
      <c r="A32">
        <v>4</v>
      </c>
      <c r="B32">
        <v>2.9577422018588027</v>
      </c>
      <c r="C32">
        <v>-4.6029782910115209</v>
      </c>
      <c r="D32">
        <v>-1.1627855306779569</v>
      </c>
    </row>
    <row r="33" spans="1:4" x14ac:dyDescent="0.25">
      <c r="A33">
        <v>5</v>
      </c>
      <c r="B33">
        <v>1.5277985334442916</v>
      </c>
      <c r="C33">
        <v>1.096145158360919</v>
      </c>
      <c r="D33">
        <v>0.27690370214296195</v>
      </c>
    </row>
    <row r="34" spans="1:4" x14ac:dyDescent="0.25">
      <c r="A34">
        <v>6</v>
      </c>
      <c r="B34">
        <v>2.0814782714127378</v>
      </c>
      <c r="C34">
        <v>-2.3809778968925008</v>
      </c>
      <c r="D34">
        <v>-0.60147288827691381</v>
      </c>
    </row>
    <row r="35" spans="1:4" x14ac:dyDescent="0.25">
      <c r="A35">
        <v>7</v>
      </c>
      <c r="B35">
        <v>1.6714921401609644</v>
      </c>
      <c r="C35">
        <v>-1.6692945566174773</v>
      </c>
      <c r="D35">
        <v>-0.42169035658165782</v>
      </c>
    </row>
    <row r="36" spans="1:4" x14ac:dyDescent="0.25">
      <c r="A36">
        <v>8</v>
      </c>
      <c r="B36">
        <v>-3.227258455287072</v>
      </c>
      <c r="C36">
        <v>-2.9810445620005259</v>
      </c>
      <c r="D36">
        <v>-0.7530592724648032</v>
      </c>
    </row>
    <row r="37" spans="1:4" x14ac:dyDescent="0.25">
      <c r="A37">
        <v>9</v>
      </c>
      <c r="B37">
        <v>0.96275203974860601</v>
      </c>
      <c r="C37">
        <v>-4.3751434413246537</v>
      </c>
      <c r="D37">
        <v>-1.1052308237358439</v>
      </c>
    </row>
    <row r="38" spans="1:4" x14ac:dyDescent="0.25">
      <c r="A38">
        <v>10</v>
      </c>
      <c r="B38">
        <v>2.6366626515073581</v>
      </c>
      <c r="C38">
        <v>-9.2646997356961016</v>
      </c>
      <c r="D38">
        <v>-2.3404105163346198</v>
      </c>
    </row>
    <row r="39" spans="1:4" x14ac:dyDescent="0.25">
      <c r="A39">
        <v>11</v>
      </c>
      <c r="B39">
        <v>-3.8269815013209589</v>
      </c>
      <c r="C39">
        <v>10.018361913623846</v>
      </c>
      <c r="D39">
        <v>2.5307975701308338</v>
      </c>
    </row>
    <row r="40" spans="1:4" x14ac:dyDescent="0.25">
      <c r="A40">
        <v>12</v>
      </c>
      <c r="B40">
        <v>-3.0265573947116495</v>
      </c>
      <c r="C40">
        <v>11.909943886444129</v>
      </c>
      <c r="D40">
        <v>3.0086412637197819</v>
      </c>
    </row>
    <row r="41" spans="1:4" x14ac:dyDescent="0.25">
      <c r="A41">
        <v>13</v>
      </c>
      <c r="B41">
        <v>1.0491404975079424</v>
      </c>
      <c r="C41">
        <v>-0.4613538326058233</v>
      </c>
      <c r="D41">
        <v>-0.11654531634972876</v>
      </c>
    </row>
    <row r="42" spans="1:4" x14ac:dyDescent="0.25">
      <c r="A42">
        <v>14</v>
      </c>
      <c r="B42">
        <v>-0.71347824533999571</v>
      </c>
      <c r="C42">
        <v>0.61875297444309951</v>
      </c>
      <c r="D42">
        <v>0.15630684314791243</v>
      </c>
    </row>
    <row r="43" spans="1:4" x14ac:dyDescent="0.25">
      <c r="A43">
        <v>15</v>
      </c>
      <c r="B43">
        <v>-2.0490158997565824</v>
      </c>
      <c r="C43">
        <v>1.8439258979738589</v>
      </c>
      <c r="D43">
        <v>0.46580501107147093</v>
      </c>
    </row>
    <row r="44" spans="1:4" x14ac:dyDescent="0.25">
      <c r="A44">
        <v>16</v>
      </c>
      <c r="B44">
        <v>-0.50724096049877032</v>
      </c>
      <c r="C44">
        <v>-1.8181727334352971</v>
      </c>
      <c r="D44">
        <v>-0.45929935208257577</v>
      </c>
    </row>
    <row r="45" spans="1:4" x14ac:dyDescent="0.25">
      <c r="A45">
        <v>17</v>
      </c>
      <c r="B45">
        <v>1.2307179488925957</v>
      </c>
      <c r="C45">
        <v>-4.3279887180040433</v>
      </c>
      <c r="D45">
        <v>-1.0933187905882187</v>
      </c>
    </row>
    <row r="46" spans="1:4" x14ac:dyDescent="0.25">
      <c r="A46">
        <v>18</v>
      </c>
      <c r="B46">
        <v>-5.1082387914974103E-2</v>
      </c>
      <c r="C46">
        <v>1.9058166563044177</v>
      </c>
      <c r="D46">
        <v>0.48143960105204742</v>
      </c>
    </row>
    <row r="47" spans="1:4" x14ac:dyDescent="0.25">
      <c r="A47">
        <v>19</v>
      </c>
      <c r="B47">
        <v>-1.1872443289442698</v>
      </c>
      <c r="C47">
        <v>7.2638539292091711</v>
      </c>
      <c r="D47">
        <v>1.8349650404252815</v>
      </c>
    </row>
    <row r="48" spans="1:4" x14ac:dyDescent="0.25">
      <c r="A48">
        <v>20</v>
      </c>
      <c r="B48">
        <v>-1.5041091961611763</v>
      </c>
      <c r="C48">
        <v>-3.0749859186387938</v>
      </c>
      <c r="D48">
        <v>-0.77679035337051638</v>
      </c>
    </row>
    <row r="49" spans="1:4" x14ac:dyDescent="0.25">
      <c r="A49">
        <v>21</v>
      </c>
      <c r="B49">
        <v>-16.234578586538927</v>
      </c>
      <c r="C49">
        <v>-11.059970292768408</v>
      </c>
      <c r="D49">
        <v>-2.7939244143888935</v>
      </c>
    </row>
    <row r="50" spans="1:4" x14ac:dyDescent="0.25">
      <c r="A50">
        <v>22</v>
      </c>
      <c r="B50">
        <v>-1.581126102088062</v>
      </c>
      <c r="C50">
        <v>-0.84839503785926795</v>
      </c>
      <c r="D50">
        <v>-0.21431808102335129</v>
      </c>
    </row>
    <row r="51" spans="1:4" x14ac:dyDescent="0.25">
      <c r="A51">
        <v>23</v>
      </c>
      <c r="B51">
        <v>3.0146907791791278</v>
      </c>
      <c r="C51">
        <v>0.71437046456764053</v>
      </c>
      <c r="D51">
        <v>0.18046134203261735</v>
      </c>
    </row>
    <row r="52" spans="1:4" x14ac:dyDescent="0.25">
      <c r="A52">
        <v>24</v>
      </c>
      <c r="B52">
        <v>3.2237431914904753</v>
      </c>
      <c r="C52">
        <v>-2.1351812386758668</v>
      </c>
      <c r="D52">
        <v>-0.5393807428020132</v>
      </c>
    </row>
    <row r="53" spans="1:4" x14ac:dyDescent="0.25">
      <c r="A53">
        <v>25</v>
      </c>
      <c r="B53">
        <v>-1.7605594301674901</v>
      </c>
      <c r="C53">
        <v>0.5013134925664009</v>
      </c>
      <c r="D53">
        <v>0.12663976204887634</v>
      </c>
    </row>
    <row r="54" spans="1:4" x14ac:dyDescent="0.25">
      <c r="A54">
        <v>26</v>
      </c>
      <c r="B54">
        <v>2.9476822290861064</v>
      </c>
      <c r="C54">
        <v>2.384263318441914</v>
      </c>
      <c r="D54">
        <v>0.60230283801777951</v>
      </c>
    </row>
    <row r="55" spans="1:4" x14ac:dyDescent="0.25">
      <c r="A55">
        <v>27</v>
      </c>
      <c r="B55">
        <v>2.8934141319369044</v>
      </c>
      <c r="C55">
        <v>-1.9379026869094682</v>
      </c>
      <c r="D55">
        <v>-0.48954504273907395</v>
      </c>
    </row>
    <row r="56" spans="1:4" x14ac:dyDescent="0.25">
      <c r="A56">
        <v>28</v>
      </c>
      <c r="B56">
        <v>-1.314932793771409</v>
      </c>
      <c r="C56">
        <v>2.8539482419089639</v>
      </c>
      <c r="D56">
        <v>0.72095272043229164</v>
      </c>
    </row>
    <row r="57" spans="1:4" x14ac:dyDescent="0.25">
      <c r="A57">
        <v>29</v>
      </c>
      <c r="B57">
        <v>-3.1896236234516264</v>
      </c>
      <c r="C57">
        <v>8.0593863586664654</v>
      </c>
      <c r="D57">
        <v>2.0359291857405846</v>
      </c>
    </row>
    <row r="58" spans="1:4" x14ac:dyDescent="0.25">
      <c r="A58">
        <v>30</v>
      </c>
      <c r="B58">
        <v>-1.9162858175192097</v>
      </c>
      <c r="C58">
        <v>3.2407047749210127</v>
      </c>
      <c r="D58">
        <v>0.81865357236977832</v>
      </c>
    </row>
    <row r="59" spans="1:4" x14ac:dyDescent="0.25">
      <c r="A59">
        <v>31</v>
      </c>
      <c r="B59">
        <v>-0.75389876257120725</v>
      </c>
      <c r="C59">
        <v>-1.7769178032859949</v>
      </c>
      <c r="D59">
        <v>-0.44887770053135878</v>
      </c>
    </row>
    <row r="60" spans="1:4" x14ac:dyDescent="0.25">
      <c r="A60">
        <v>32</v>
      </c>
      <c r="B60">
        <v>0.75527170285296086</v>
      </c>
      <c r="C60">
        <v>-0.44046096301292725</v>
      </c>
      <c r="D60">
        <v>-0.11126744517132216</v>
      </c>
    </row>
    <row r="61" spans="1:4" x14ac:dyDescent="0.25">
      <c r="A61">
        <v>33</v>
      </c>
      <c r="B61">
        <v>2.4753391120330717</v>
      </c>
      <c r="C61">
        <v>-0.51524432798580189</v>
      </c>
      <c r="D61">
        <v>-0.13015891265785645</v>
      </c>
    </row>
    <row r="62" spans="1:4" x14ac:dyDescent="0.25">
      <c r="A62">
        <v>34</v>
      </c>
      <c r="B62">
        <v>1.6485150260827297</v>
      </c>
      <c r="C62">
        <v>2.2860519437803113</v>
      </c>
      <c r="D62">
        <v>0.57749308264102583</v>
      </c>
    </row>
    <row r="63" spans="1:4" x14ac:dyDescent="0.25">
      <c r="A63">
        <v>35</v>
      </c>
      <c r="B63">
        <v>1.0866603854283043</v>
      </c>
      <c r="C63">
        <v>2.7251001980614475</v>
      </c>
      <c r="D63">
        <v>0.68840365511633794</v>
      </c>
    </row>
    <row r="64" spans="1:4" x14ac:dyDescent="0.25">
      <c r="A64">
        <v>36</v>
      </c>
      <c r="B64">
        <v>-0.32490950542320229</v>
      </c>
      <c r="C64">
        <v>-0.92699593085803689</v>
      </c>
      <c r="D64">
        <v>-0.23417391681032615</v>
      </c>
    </row>
    <row r="65" spans="1:4" x14ac:dyDescent="0.25">
      <c r="A65">
        <v>37</v>
      </c>
      <c r="B65">
        <v>0.48557410868258644</v>
      </c>
      <c r="C65">
        <v>-0.32005967020501314</v>
      </c>
      <c r="D65">
        <v>-8.0852163520885173E-2</v>
      </c>
    </row>
    <row r="66" spans="1:4" x14ac:dyDescent="0.25">
      <c r="A66">
        <v>38</v>
      </c>
      <c r="B66">
        <v>-0.96386466858716546</v>
      </c>
      <c r="C66">
        <v>-0.1782638658386686</v>
      </c>
      <c r="D66">
        <v>-4.5032287952496357E-2</v>
      </c>
    </row>
    <row r="67" spans="1:4" x14ac:dyDescent="0.25">
      <c r="A67">
        <v>39</v>
      </c>
      <c r="B67">
        <v>-7.6549630222239298</v>
      </c>
      <c r="C67">
        <v>5.245783319057244</v>
      </c>
      <c r="D67">
        <v>1.3251683051346992</v>
      </c>
    </row>
    <row r="68" spans="1:4" x14ac:dyDescent="0.25">
      <c r="A68">
        <v>40</v>
      </c>
      <c r="B68">
        <v>-1.3890891471189339</v>
      </c>
      <c r="C68">
        <v>1.372349823114636</v>
      </c>
      <c r="D68">
        <v>0.34667739373489004</v>
      </c>
    </row>
    <row r="69" spans="1:4" x14ac:dyDescent="0.25">
      <c r="A69">
        <v>41</v>
      </c>
      <c r="B69">
        <v>1.9871614950013274</v>
      </c>
      <c r="C69">
        <v>6.594907035822839</v>
      </c>
      <c r="D69">
        <v>1.665978414974423</v>
      </c>
    </row>
    <row r="70" spans="1:4" x14ac:dyDescent="0.25">
      <c r="A70">
        <v>42</v>
      </c>
      <c r="B70">
        <v>0.74019884657656709</v>
      </c>
      <c r="C70">
        <v>0.22297547119643846</v>
      </c>
      <c r="D70">
        <v>5.6327150642794387E-2</v>
      </c>
    </row>
    <row r="71" spans="1:4" x14ac:dyDescent="0.25">
      <c r="A71">
        <v>43</v>
      </c>
      <c r="B71">
        <v>-0.74808148791098306</v>
      </c>
      <c r="C71">
        <v>-0.29265347872694092</v>
      </c>
      <c r="D71">
        <v>-7.3928923634240196E-2</v>
      </c>
    </row>
    <row r="72" spans="1:4" x14ac:dyDescent="0.25">
      <c r="A72">
        <v>44</v>
      </c>
      <c r="B72">
        <v>-2.9275229576490323</v>
      </c>
      <c r="C72">
        <v>0.56312628868709913</v>
      </c>
      <c r="D72">
        <v>0.1422546575351854</v>
      </c>
    </row>
    <row r="73" spans="1:4" x14ac:dyDescent="0.25">
      <c r="A73">
        <v>45</v>
      </c>
      <c r="B73">
        <v>1.6973622845292058</v>
      </c>
      <c r="C73">
        <v>2.2699061951249186</v>
      </c>
      <c r="D73">
        <v>0.57341440971851509</v>
      </c>
    </row>
    <row r="74" spans="1:4" x14ac:dyDescent="0.25">
      <c r="A74">
        <v>46</v>
      </c>
      <c r="B74">
        <v>-0.98667464106955471</v>
      </c>
      <c r="C74">
        <v>-0.77486604957450378</v>
      </c>
      <c r="D74">
        <v>-0.19574348904018463</v>
      </c>
    </row>
    <row r="75" spans="1:4" x14ac:dyDescent="0.25">
      <c r="A75">
        <v>47</v>
      </c>
      <c r="B75">
        <v>0.6255484628360809</v>
      </c>
      <c r="C75">
        <v>-2.3235607913510372</v>
      </c>
      <c r="D75">
        <v>-0.58696841414819678</v>
      </c>
    </row>
    <row r="76" spans="1:4" x14ac:dyDescent="0.25">
      <c r="A76">
        <v>48</v>
      </c>
      <c r="B76">
        <v>-0.78454922095049695</v>
      </c>
      <c r="C76">
        <v>-1.0459032606893701</v>
      </c>
      <c r="D76">
        <v>-0.26421179965009978</v>
      </c>
    </row>
    <row r="77" spans="1:4" x14ac:dyDescent="0.25">
      <c r="A77">
        <v>49</v>
      </c>
      <c r="B77">
        <v>-1.7494455139059324</v>
      </c>
      <c r="C77">
        <v>-2.5643947610908979</v>
      </c>
      <c r="D77">
        <v>-0.64780690557799303</v>
      </c>
    </row>
    <row r="78" spans="1:4" x14ac:dyDescent="0.25">
      <c r="A78">
        <v>50</v>
      </c>
      <c r="B78">
        <v>2.4767740451777711</v>
      </c>
      <c r="C78">
        <v>-0.9660521056828284</v>
      </c>
      <c r="D78">
        <v>-0.24404012779345818</v>
      </c>
    </row>
    <row r="79" spans="1:4" x14ac:dyDescent="0.25">
      <c r="A79">
        <v>51</v>
      </c>
      <c r="B79">
        <v>-2.2055797834534325</v>
      </c>
      <c r="C79">
        <v>-1.9916343992832242</v>
      </c>
      <c r="D79">
        <v>-0.50311852793424816</v>
      </c>
    </row>
    <row r="80" spans="1:4" x14ac:dyDescent="0.25">
      <c r="A80">
        <v>52</v>
      </c>
      <c r="B80">
        <v>-2.3363927672603255</v>
      </c>
      <c r="C80">
        <v>1.1512253611367365</v>
      </c>
      <c r="D80">
        <v>0.29081783746260825</v>
      </c>
    </row>
    <row r="81" spans="1:4" x14ac:dyDescent="0.25">
      <c r="A81">
        <v>53</v>
      </c>
      <c r="B81">
        <v>-4.0163650819953087</v>
      </c>
      <c r="C81">
        <v>4.1473933444017126</v>
      </c>
      <c r="D81">
        <v>1.0476975266899649</v>
      </c>
    </row>
    <row r="82" spans="1:4" x14ac:dyDescent="0.25">
      <c r="A82">
        <v>54</v>
      </c>
      <c r="B82">
        <v>0.98843091915961956</v>
      </c>
      <c r="C82">
        <v>-6.117609913143955</v>
      </c>
      <c r="D82">
        <v>-1.5454055699603602</v>
      </c>
    </row>
    <row r="83" spans="1:4" x14ac:dyDescent="0.25">
      <c r="A83">
        <v>55</v>
      </c>
      <c r="B83">
        <v>-0.4277235626057343</v>
      </c>
      <c r="C83">
        <v>-2.959156798461628</v>
      </c>
      <c r="D83">
        <v>-0.74753007525098403</v>
      </c>
    </row>
    <row r="84" spans="1:4" x14ac:dyDescent="0.25">
      <c r="A84">
        <v>56</v>
      </c>
      <c r="B84">
        <v>1.1488687233844841</v>
      </c>
      <c r="C84">
        <v>0.31900562472782945</v>
      </c>
      <c r="D84">
        <v>8.0585894867839583E-2</v>
      </c>
    </row>
    <row r="85" spans="1:4" x14ac:dyDescent="0.25">
      <c r="A85">
        <v>57</v>
      </c>
      <c r="B85">
        <v>0.47539088644488808</v>
      </c>
      <c r="C85">
        <v>-5.8897280440790825</v>
      </c>
      <c r="D85">
        <v>-1.4878389851754787</v>
      </c>
    </row>
    <row r="86" spans="1:4" x14ac:dyDescent="0.25">
      <c r="A86">
        <v>58</v>
      </c>
      <c r="B86">
        <v>-0.77586827282238235</v>
      </c>
      <c r="C86">
        <v>-1.6602939281268299</v>
      </c>
      <c r="D86">
        <v>-0.41941665466210504</v>
      </c>
    </row>
    <row r="87" spans="1:4" x14ac:dyDescent="0.25">
      <c r="A87">
        <v>59</v>
      </c>
      <c r="B87">
        <v>1.6621252637838837</v>
      </c>
      <c r="C87">
        <v>3.0768762698377281</v>
      </c>
      <c r="D87">
        <v>0.77726788615104514</v>
      </c>
    </row>
    <row r="88" spans="1:4" ht="15.75" thickBot="1" x14ac:dyDescent="0.3">
      <c r="A88" s="18">
        <v>60</v>
      </c>
      <c r="B88" s="18">
        <v>-0.91567222253970693</v>
      </c>
      <c r="C88" s="18">
        <v>-2.5178059215386774</v>
      </c>
      <c r="D88" s="18">
        <v>-0.63603782367113615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31DE0-5B25-4F1B-A7BC-C8832BD5E3E1}">
  <dimension ref="A1:B61"/>
  <sheetViews>
    <sheetView workbookViewId="0">
      <selection sqref="A1:A1048576"/>
    </sheetView>
  </sheetViews>
  <sheetFormatPr defaultRowHeight="15" x14ac:dyDescent="0.25"/>
  <cols>
    <col min="1" max="1" width="13.140625" bestFit="1" customWidth="1"/>
    <col min="2" max="2" width="22.140625" bestFit="1" customWidth="1"/>
  </cols>
  <sheetData>
    <row r="1" spans="1:2" ht="15.75" x14ac:dyDescent="0.25">
      <c r="A1" s="1" t="s">
        <v>0</v>
      </c>
      <c r="B1" s="1" t="s">
        <v>39</v>
      </c>
    </row>
    <row r="2" spans="1:2" ht="15.75" x14ac:dyDescent="0.25">
      <c r="A2" s="1">
        <v>1</v>
      </c>
      <c r="B2" s="3">
        <v>7212.8</v>
      </c>
    </row>
    <row r="3" spans="1:2" ht="15.75" x14ac:dyDescent="0.25">
      <c r="A3" s="1">
        <v>2</v>
      </c>
      <c r="B3" s="3">
        <v>130.07</v>
      </c>
    </row>
    <row r="4" spans="1:2" ht="15.75" x14ac:dyDescent="0.25">
      <c r="A4" s="1">
        <v>3</v>
      </c>
      <c r="B4" s="7">
        <v>0.99946000000000002</v>
      </c>
    </row>
    <row r="5" spans="1:2" ht="15.75" x14ac:dyDescent="0.25">
      <c r="A5" s="1">
        <v>4</v>
      </c>
      <c r="B5" s="3">
        <v>0.192967</v>
      </c>
    </row>
    <row r="6" spans="1:2" ht="15.75" x14ac:dyDescent="0.25">
      <c r="A6" s="1">
        <v>5</v>
      </c>
      <c r="B6" s="3">
        <v>13.79</v>
      </c>
    </row>
    <row r="7" spans="1:2" ht="15.75" x14ac:dyDescent="0.25">
      <c r="A7" s="1">
        <v>6</v>
      </c>
      <c r="B7" s="3">
        <v>0.74118899999999999</v>
      </c>
    </row>
    <row r="8" spans="1:2" ht="15.75" x14ac:dyDescent="0.25">
      <c r="A8" s="1">
        <v>7</v>
      </c>
      <c r="B8" s="3">
        <v>1.0022</v>
      </c>
    </row>
    <row r="9" spans="1:2" ht="15.75" x14ac:dyDescent="0.25">
      <c r="A9" s="1">
        <v>8</v>
      </c>
      <c r="B9" s="5">
        <f>0.00201265</f>
        <v>2.0126499999999999E-3</v>
      </c>
    </row>
    <row r="10" spans="1:2" ht="15.75" x14ac:dyDescent="0.25">
      <c r="A10" s="1">
        <v>9</v>
      </c>
      <c r="B10" s="7">
        <f>0.03296228</f>
        <v>3.2962279999999997E-2</v>
      </c>
    </row>
    <row r="11" spans="1:2" ht="15.75" x14ac:dyDescent="0.25">
      <c r="A11" s="1">
        <v>10</v>
      </c>
      <c r="B11" s="5">
        <v>1.3227569999999999E-3</v>
      </c>
    </row>
    <row r="12" spans="1:2" ht="15.75" x14ac:dyDescent="0.25">
      <c r="A12" s="1">
        <v>11</v>
      </c>
      <c r="B12" s="3">
        <v>488.52</v>
      </c>
    </row>
    <row r="13" spans="1:2" ht="15.75" x14ac:dyDescent="0.25">
      <c r="A13" s="1">
        <v>12</v>
      </c>
      <c r="B13" s="3">
        <v>7211.17</v>
      </c>
    </row>
    <row r="14" spans="1:2" ht="15.75" x14ac:dyDescent="0.25">
      <c r="A14" s="1">
        <v>13</v>
      </c>
      <c r="B14" s="3">
        <v>1.8</v>
      </c>
    </row>
    <row r="15" spans="1:2" ht="15.75" x14ac:dyDescent="0.25">
      <c r="A15" s="1">
        <v>14</v>
      </c>
      <c r="B15" s="6">
        <v>0.90962279999999995</v>
      </c>
    </row>
    <row r="16" spans="1:2" ht="15.75" x14ac:dyDescent="0.25">
      <c r="A16" s="1">
        <v>15</v>
      </c>
      <c r="B16" s="6">
        <v>0.81457400000000002</v>
      </c>
    </row>
    <row r="17" spans="1:2" ht="15.75" x14ac:dyDescent="0.25">
      <c r="A17" s="1">
        <v>16</v>
      </c>
      <c r="B17" s="6">
        <v>9.7742999999999997E-2</v>
      </c>
    </row>
    <row r="18" spans="1:2" ht="15.75" x14ac:dyDescent="0.25">
      <c r="A18" s="1">
        <v>17</v>
      </c>
      <c r="B18" s="6">
        <v>4.5172320000000002E-2</v>
      </c>
    </row>
    <row r="19" spans="1:2" ht="15.75" x14ac:dyDescent="0.25">
      <c r="A19" s="1">
        <v>18</v>
      </c>
      <c r="B19" s="3">
        <v>6.39</v>
      </c>
    </row>
    <row r="20" spans="1:2" ht="15.75" x14ac:dyDescent="0.25">
      <c r="A20" s="1">
        <v>19</v>
      </c>
      <c r="B20" s="3">
        <v>435.55</v>
      </c>
    </row>
    <row r="21" spans="1:2" ht="15.75" x14ac:dyDescent="0.25">
      <c r="A21" s="1">
        <v>20</v>
      </c>
      <c r="B21" s="6">
        <v>1.0264179999999999E-2</v>
      </c>
    </row>
    <row r="22" spans="1:2" ht="15.75" x14ac:dyDescent="0.25">
      <c r="A22" s="1">
        <v>21</v>
      </c>
      <c r="B22" s="3">
        <v>1.4000000000000001E-12</v>
      </c>
    </row>
    <row r="23" spans="1:2" ht="15.75" x14ac:dyDescent="0.25">
      <c r="A23" s="1">
        <v>22</v>
      </c>
      <c r="B23" s="5">
        <v>8.8079000000000005E-2</v>
      </c>
    </row>
    <row r="24" spans="1:2" ht="15.75" x14ac:dyDescent="0.25">
      <c r="A24" s="1">
        <v>23</v>
      </c>
      <c r="B24" s="3">
        <v>41.64</v>
      </c>
    </row>
    <row r="25" spans="1:2" ht="15.75" x14ac:dyDescent="0.25">
      <c r="A25" s="1">
        <v>24</v>
      </c>
      <c r="B25" s="3">
        <v>2.97</v>
      </c>
    </row>
    <row r="26" spans="1:2" ht="15.75" x14ac:dyDescent="0.25">
      <c r="A26" s="1">
        <v>25</v>
      </c>
      <c r="B26" s="5">
        <v>0.28386800000000001</v>
      </c>
    </row>
    <row r="27" spans="1:2" ht="15.75" x14ac:dyDescent="0.25">
      <c r="A27" s="1">
        <v>26</v>
      </c>
      <c r="B27" s="3">
        <v>206.84</v>
      </c>
    </row>
    <row r="28" spans="1:2" ht="15.75" x14ac:dyDescent="0.25">
      <c r="A28" s="1">
        <v>27</v>
      </c>
      <c r="B28" s="3">
        <v>2.6</v>
      </c>
    </row>
    <row r="29" spans="1:2" ht="15.75" x14ac:dyDescent="0.25">
      <c r="A29" s="1">
        <v>28</v>
      </c>
      <c r="B29" s="3">
        <v>4.66</v>
      </c>
    </row>
    <row r="30" spans="1:2" ht="15.75" x14ac:dyDescent="0.25">
      <c r="A30" s="1">
        <v>29</v>
      </c>
      <c r="B30" s="3">
        <v>130.29</v>
      </c>
    </row>
    <row r="31" spans="1:2" ht="15.75" x14ac:dyDescent="0.25">
      <c r="A31" s="1">
        <v>30</v>
      </c>
      <c r="B31" s="3">
        <v>3.76</v>
      </c>
    </row>
    <row r="32" spans="1:2" ht="15.75" x14ac:dyDescent="0.25">
      <c r="A32" s="1">
        <v>31</v>
      </c>
      <c r="B32" s="3">
        <v>7.9593999999999998E-2</v>
      </c>
    </row>
    <row r="33" spans="1:2" ht="15.75" x14ac:dyDescent="0.25">
      <c r="A33" s="1">
        <v>32</v>
      </c>
      <c r="B33" s="3">
        <v>1.37</v>
      </c>
    </row>
    <row r="34" spans="1:2" ht="15.75" x14ac:dyDescent="0.25">
      <c r="A34" s="1">
        <v>33</v>
      </c>
      <c r="B34" s="3">
        <v>7.1</v>
      </c>
    </row>
    <row r="35" spans="1:2" ht="15.75" x14ac:dyDescent="0.25">
      <c r="A35" s="1">
        <v>34</v>
      </c>
      <c r="B35" s="3">
        <v>51.14</v>
      </c>
    </row>
    <row r="36" spans="1:2" ht="15.75" x14ac:dyDescent="0.25">
      <c r="A36" s="1">
        <v>35</v>
      </c>
      <c r="B36" s="3">
        <v>45.23</v>
      </c>
    </row>
    <row r="37" spans="1:2" ht="15.75" x14ac:dyDescent="0.25">
      <c r="A37" s="1">
        <v>36</v>
      </c>
      <c r="B37" s="3">
        <v>0.28595939999999997</v>
      </c>
    </row>
    <row r="38" spans="1:2" ht="15.75" x14ac:dyDescent="0.25">
      <c r="A38" s="1">
        <v>37</v>
      </c>
      <c r="B38" s="3">
        <v>1.18</v>
      </c>
    </row>
    <row r="39" spans="1:2" ht="15.75" x14ac:dyDescent="0.25">
      <c r="A39" s="1">
        <v>38</v>
      </c>
      <c r="B39" s="3">
        <v>0.31913900000000001</v>
      </c>
    </row>
    <row r="40" spans="1:2" ht="15.75" x14ac:dyDescent="0.25">
      <c r="A40" s="1">
        <v>39</v>
      </c>
      <c r="B40" s="9">
        <v>8.9888999999999997E-2</v>
      </c>
    </row>
    <row r="41" spans="1:2" ht="15.75" x14ac:dyDescent="0.25">
      <c r="A41" s="1">
        <v>40</v>
      </c>
      <c r="B41" s="4">
        <v>0.98340000000000005</v>
      </c>
    </row>
    <row r="42" spans="1:2" ht="15.75" x14ac:dyDescent="0.25">
      <c r="A42" s="1">
        <v>41</v>
      </c>
      <c r="B42" s="3">
        <v>5335.13</v>
      </c>
    </row>
    <row r="43" spans="1:2" ht="15.75" x14ac:dyDescent="0.25">
      <c r="A43" s="1">
        <v>42</v>
      </c>
      <c r="B43" s="3">
        <v>2.62</v>
      </c>
    </row>
    <row r="44" spans="1:2" ht="15.75" x14ac:dyDescent="0.25">
      <c r="A44" s="1">
        <v>43</v>
      </c>
      <c r="B44" s="3">
        <v>0.35319499999999998</v>
      </c>
    </row>
    <row r="45" spans="1:2" ht="15.75" x14ac:dyDescent="0.25">
      <c r="A45" s="1">
        <v>44</v>
      </c>
      <c r="B45" s="4">
        <v>9.4006000000000006E-2</v>
      </c>
    </row>
    <row r="46" spans="1:2" ht="15.75" x14ac:dyDescent="0.25">
      <c r="A46" s="1">
        <v>45</v>
      </c>
      <c r="B46" s="3">
        <v>52.84</v>
      </c>
    </row>
    <row r="47" spans="1:2" ht="15.75" x14ac:dyDescent="0.25">
      <c r="A47" s="1">
        <v>46</v>
      </c>
      <c r="B47" s="3">
        <v>0.17177999999999999</v>
      </c>
    </row>
    <row r="48" spans="1:2" ht="15.75" x14ac:dyDescent="0.25">
      <c r="A48" s="1">
        <v>47</v>
      </c>
      <c r="B48" s="3">
        <v>0.18304699999999999</v>
      </c>
    </row>
    <row r="49" spans="1:2" ht="15.75" x14ac:dyDescent="0.25">
      <c r="A49" s="1">
        <v>48</v>
      </c>
      <c r="B49" s="3">
        <v>0.16034100000000001</v>
      </c>
    </row>
    <row r="50" spans="1:2" ht="15.75" x14ac:dyDescent="0.25">
      <c r="A50" s="1">
        <v>49</v>
      </c>
      <c r="B50" s="4">
        <v>1.3382059999999999E-2</v>
      </c>
    </row>
    <row r="51" spans="1:2" ht="15.75" x14ac:dyDescent="0.25">
      <c r="A51" s="1">
        <v>50</v>
      </c>
      <c r="B51" s="3">
        <v>4.53</v>
      </c>
    </row>
    <row r="52" spans="1:2" ht="15.75" x14ac:dyDescent="0.25">
      <c r="A52" s="1">
        <v>51</v>
      </c>
      <c r="B52" s="9">
        <v>1.5037409999999999E-2</v>
      </c>
    </row>
    <row r="53" spans="1:2" ht="15.75" x14ac:dyDescent="0.25">
      <c r="A53" s="1">
        <v>52</v>
      </c>
      <c r="B53" s="4">
        <v>0.30569499999999999</v>
      </c>
    </row>
    <row r="54" spans="1:2" ht="15.75" x14ac:dyDescent="0.25">
      <c r="A54" s="1">
        <v>53</v>
      </c>
      <c r="B54" s="3">
        <v>1.1399999999999999</v>
      </c>
    </row>
    <row r="55" spans="1:2" ht="15.75" x14ac:dyDescent="0.25">
      <c r="A55" s="1">
        <v>54</v>
      </c>
      <c r="B55" s="4">
        <v>5.9214200000000002E-3</v>
      </c>
    </row>
    <row r="56" spans="1:2" ht="15.75" x14ac:dyDescent="0.25">
      <c r="A56" s="1">
        <v>55</v>
      </c>
      <c r="B56" s="7">
        <v>3.3813999999999997E-2</v>
      </c>
    </row>
    <row r="57" spans="1:2" ht="15.75" x14ac:dyDescent="0.25">
      <c r="A57" s="1">
        <v>56</v>
      </c>
      <c r="B57" s="3">
        <v>4.34</v>
      </c>
    </row>
    <row r="58" spans="1:2" ht="15.75" x14ac:dyDescent="0.25">
      <c r="A58" s="1">
        <v>57</v>
      </c>
      <c r="B58" s="7">
        <v>4.4522880000000004E-3</v>
      </c>
    </row>
    <row r="59" spans="1:2" ht="15.75" x14ac:dyDescent="0.25">
      <c r="A59" s="1">
        <v>58</v>
      </c>
      <c r="B59" s="4">
        <v>8.7496000000000004E-2</v>
      </c>
    </row>
    <row r="60" spans="1:2" ht="15.75" x14ac:dyDescent="0.25">
      <c r="A60" s="1">
        <v>59</v>
      </c>
      <c r="B60" s="3">
        <v>114.32</v>
      </c>
    </row>
    <row r="61" spans="1:2" ht="15.75" x14ac:dyDescent="0.25">
      <c r="A61" s="1">
        <v>60</v>
      </c>
      <c r="B61" s="5">
        <v>3.2274490000000003E-2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MyDataSets</vt:lpstr>
      <vt:lpstr>EmpiricalRegression</vt:lpstr>
      <vt:lpstr>CryptocurrenciesPrices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Penalo</dc:creator>
  <cp:lastModifiedBy>Adrian Penalo</cp:lastModifiedBy>
  <dcterms:created xsi:type="dcterms:W3CDTF">2025-03-23T00:18:39Z</dcterms:created>
  <dcterms:modified xsi:type="dcterms:W3CDTF">2025-05-21T02:54:00Z</dcterms:modified>
</cp:coreProperties>
</file>